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UTP\Cursos\2026-01_8-9no ciclo\Curso Integrador 2\APF3\"/>
    </mc:Choice>
  </mc:AlternateContent>
  <bookViews>
    <workbookView xWindow="0" yWindow="0" windowWidth="20490" windowHeight="7350" tabRatio="500"/>
  </bookViews>
  <sheets>
    <sheet name="📋 Registro de Requerimientos" sheetId="1" r:id="rId1"/>
    <sheet name="📊 Dashboard KPIs" sheetId="2" r:id="rId2"/>
    <sheet name="📖 Instrucciones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8" i="1" l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F12" i="3"/>
  <c r="R7" i="1"/>
  <c r="R5" i="1"/>
  <c r="P7" i="1"/>
  <c r="P8" i="1"/>
  <c r="P9" i="1"/>
  <c r="P6" i="1"/>
  <c r="P5" i="1"/>
  <c r="F17" i="1"/>
  <c r="S17" i="1" s="1"/>
  <c r="F10" i="1"/>
  <c r="S10" i="1" s="1"/>
  <c r="F11" i="1"/>
  <c r="S11" i="1" s="1"/>
  <c r="F12" i="1"/>
  <c r="S12" i="1" s="1"/>
  <c r="F13" i="1"/>
  <c r="S13" i="1" s="1"/>
  <c r="F14" i="1"/>
  <c r="S14" i="1" s="1"/>
  <c r="F15" i="1"/>
  <c r="S15" i="1" s="1"/>
  <c r="F16" i="1"/>
  <c r="S16" i="1" s="1"/>
  <c r="F7" i="1"/>
  <c r="S7" i="1" s="1"/>
  <c r="F8" i="1"/>
  <c r="S8" i="1" s="1"/>
  <c r="F9" i="1"/>
  <c r="S9" i="1" s="1"/>
  <c r="F6" i="1"/>
  <c r="S6" i="1" s="1"/>
  <c r="F5" i="1"/>
  <c r="S5" i="1" s="1"/>
  <c r="E7" i="1"/>
  <c r="E8" i="1"/>
  <c r="E9" i="1"/>
  <c r="E10" i="1"/>
  <c r="E11" i="1"/>
  <c r="E12" i="1"/>
  <c r="E13" i="1"/>
  <c r="E14" i="1"/>
  <c r="E15" i="1"/>
  <c r="E16" i="1"/>
  <c r="E17" i="1"/>
  <c r="E6" i="1"/>
  <c r="E5" i="1"/>
  <c r="C34" i="2" l="1"/>
  <c r="C33" i="2"/>
  <c r="C32" i="2"/>
  <c r="C31" i="2"/>
  <c r="C30" i="2"/>
  <c r="C29" i="2"/>
  <c r="C28" i="2"/>
  <c r="B19" i="2"/>
  <c r="E21" i="2" s="1"/>
  <c r="B12" i="2"/>
  <c r="E14" i="2" s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C35" i="2" l="1"/>
  <c r="B5" i="2"/>
  <c r="E7" i="2" s="1"/>
</calcChain>
</file>

<file path=xl/sharedStrings.xml><?xml version="1.0" encoding="utf-8"?>
<sst xmlns="http://schemas.openxmlformats.org/spreadsheetml/2006/main" count="212" uniqueCount="188">
  <si>
    <t>IDENTIFICACIÓN DEL TICKET</t>
  </si>
  <si>
    <t>DATOS DEL SOLICITANTE</t>
  </si>
  <si>
    <t>CLASIFICACIÓN</t>
  </si>
  <si>
    <t>ASIGNACIÓN Y SEGUIMIENTO</t>
  </si>
  <si>
    <t>TIEMPOS (para KPIs)</t>
  </si>
  <si>
    <t>CIERRE Y RESULTADO</t>
  </si>
  <si>
    <t>N° Ticket</t>
  </si>
  <si>
    <t>Fecha de Recepción</t>
  </si>
  <si>
    <t>Hora de Recepción</t>
  </si>
  <si>
    <t>Nombre del Solicitante</t>
  </si>
  <si>
    <t>Correo Electrónico</t>
  </si>
  <si>
    <t>Teléfono / Contacto</t>
  </si>
  <si>
    <t>Tipo de Solicitud</t>
  </si>
  <si>
    <t>Descripción del Requerimiento</t>
  </si>
  <si>
    <t>Prioridad</t>
  </si>
  <si>
    <t>Área Responsable</t>
  </si>
  <si>
    <t>Nombre del Responsable</t>
  </si>
  <si>
    <t>Estado del Ticket</t>
  </si>
  <si>
    <t>Fecha/Hora Asignación</t>
  </si>
  <si>
    <t>Fecha/Hora Cierre</t>
  </si>
  <si>
    <t>Tiempo de Atención (h)</t>
  </si>
  <si>
    <t>SLA Máx. (h)</t>
  </si>
  <si>
    <t>¿Dentro de SLA?</t>
  </si>
  <si>
    <t>Requirió Cotización</t>
  </si>
  <si>
    <t>Observaciones / Resolución</t>
  </si>
  <si>
    <t>TKT-001</t>
  </si>
  <si>
    <t>02/06/2026</t>
  </si>
  <si>
    <t>09:15</t>
  </si>
  <si>
    <t>María López</t>
  </si>
  <si>
    <t>mlopez@dragonDorado.com</t>
  </si>
  <si>
    <t>999-111-222</t>
  </si>
  <si>
    <t>Soporte Técnico</t>
  </si>
  <si>
    <t>Error al imprimir tickets de pedidos en el módulo de cocina.</t>
  </si>
  <si>
    <t>Alta</t>
  </si>
  <si>
    <t>Renzo Yauri</t>
  </si>
  <si>
    <t>Cerrado</t>
  </si>
  <si>
    <t>02/06/2026 11:45</t>
  </si>
  <si>
    <t>No</t>
  </si>
  <si>
    <t>Se reinició el servicio de impresión y se actualizó el driver.</t>
  </si>
  <si>
    <t>TKT-002</t>
  </si>
  <si>
    <t>10:05</t>
  </si>
  <si>
    <t>Carlos Pérez</t>
  </si>
  <si>
    <t>cperez@dragonDorado.com</t>
  </si>
  <si>
    <t>999-333-444</t>
  </si>
  <si>
    <t>Nueva Implementación</t>
  </si>
  <si>
    <t>Solicitud de módulo de reservas en línea para la sede norte.</t>
  </si>
  <si>
    <t>Media</t>
  </si>
  <si>
    <t>Ventas</t>
  </si>
  <si>
    <t>Angel Salguero</t>
  </si>
  <si>
    <t>En Proceso</t>
  </si>
  <si>
    <t>Sí</t>
  </si>
  <si>
    <t>Cotización enviada al cliente el 02/06/2026.</t>
  </si>
  <si>
    <t>TKT-003</t>
  </si>
  <si>
    <t>01/06/2026</t>
  </si>
  <si>
    <t>14:30</t>
  </si>
  <si>
    <t>Lucía Torres</t>
  </si>
  <si>
    <t>ltorres@dragonDorado.com</t>
  </si>
  <si>
    <t>999-555-666</t>
  </si>
  <si>
    <t>Pantalla de toma de pedidos se congela al seleccionar más de 5 ítems.</t>
  </si>
  <si>
    <t>Janeth Peves</t>
  </si>
  <si>
    <t>02/06/2026 08:20</t>
  </si>
  <si>
    <t>Se identificó bug en la validación de ítems. Parche aplicado.</t>
  </si>
  <si>
    <t>TKT-004</t>
  </si>
  <si>
    <t>11:00</t>
  </si>
  <si>
    <t>Pedro Gómez</t>
  </si>
  <si>
    <t>pgomez@dragonDorado.com</t>
  </si>
  <si>
    <t>999-777-888</t>
  </si>
  <si>
    <t>Integración con sistema de delivery externo (Rappi).</t>
  </si>
  <si>
    <t>Lucila Gálvez</t>
  </si>
  <si>
    <t>02/06/2026 09:00</t>
  </si>
  <si>
    <t>Cotización aprobada. Desarrollo programado para siguiente sprint.</t>
  </si>
  <si>
    <t>TKT-005</t>
  </si>
  <si>
    <t>31/05/2026</t>
  </si>
  <si>
    <t>16:00</t>
  </si>
  <si>
    <t>Ana Ruiz</t>
  </si>
  <si>
    <t>aruiz@dragonDorado.com</t>
  </si>
  <si>
    <t>999-999-000</t>
  </si>
  <si>
    <t>No se generan reportes de ventas diarias en el módulo gerencial.</t>
  </si>
  <si>
    <t>Anderson Burga</t>
  </si>
  <si>
    <t>01/06/2026 14:00</t>
  </si>
  <si>
    <t>Reporte corregido; problema era en el filtro de fechas.</t>
  </si>
  <si>
    <t>Indicadores de eficiencia calculados automáticamente desde el Registro de Requerimientos</t>
  </si>
  <si>
    <t>KPI 1  |  % Cumplimiento de SLA</t>
  </si>
  <si>
    <t>Meta: ≥ 90%</t>
  </si>
  <si>
    <t>(Tickets cerrados dentro del plazo / Total tickets cerrados) × 100</t>
  </si>
  <si>
    <t>KPI 2  |  Tiempo Promedio de Asignación</t>
  </si>
  <si>
    <t>Meta: ≤ 0.5 h</t>
  </si>
  <si>
    <t>Promedio de horas transcurridas entre recepción y asignación del ticket</t>
  </si>
  <si>
    <t>KPI 3  |  Tasa de Conversión – Nuevas Implementaciones</t>
  </si>
  <si>
    <t>Meta: ≥ 60%</t>
  </si>
  <si>
    <t>(Solicitudes de implementación aprobadas / Total derivadas a ventas) × 100</t>
  </si>
  <si>
    <t>RESUMEN EJECUTIVO DEL PERÍODO</t>
  </si>
  <si>
    <t>Métrica</t>
  </si>
  <si>
    <t>Valor</t>
  </si>
  <si>
    <t>Referencia</t>
  </si>
  <si>
    <t>Total de tickets registrados</t>
  </si>
  <si>
    <t>Todos los tipos</t>
  </si>
  <si>
    <t>Tickets cerrados</t>
  </si>
  <si>
    <t>Estado = Cerrado</t>
  </si>
  <si>
    <t>Tickets en proceso</t>
  </si>
  <si>
    <t>Estado = En Proceso</t>
  </si>
  <si>
    <t>Tickets abiertos</t>
  </si>
  <si>
    <t>Estado = Abierto</t>
  </si>
  <si>
    <t>Tickets de Soporte Técnico</t>
  </si>
  <si>
    <t>Tipo</t>
  </si>
  <si>
    <t>Tickets de Nueva Implementación</t>
  </si>
  <si>
    <t>Tickets que requirieron cotización</t>
  </si>
  <si>
    <t>Campo S</t>
  </si>
  <si>
    <t>SLA incumplidos</t>
  </si>
  <si>
    <t>Campo R</t>
  </si>
  <si>
    <t>INSTRUCCIONES DE USO – EXCEL DE REQUERIMIENTOS TI</t>
  </si>
  <si>
    <t>FLUJO DEL PROCEDIMIENTO</t>
  </si>
  <si>
    <t>Paso 01</t>
  </si>
  <si>
    <t>El cliente envía un correo con el detalle de la solicitud.</t>
  </si>
  <si>
    <t>Paso 02</t>
  </si>
  <si>
    <t>El Recepcionista evalúa: ¿Consulta simple o requerimiento?</t>
  </si>
  <si>
    <t>Paso 03</t>
  </si>
  <si>
    <t>Si es consulta simple → responde al instante. FIN.</t>
  </si>
  <si>
    <t>Paso 04</t>
  </si>
  <si>
    <t>Paso 05</t>
  </si>
  <si>
    <t>Clasificar: ¿Nueva implementación o soporte técnico?</t>
  </si>
  <si>
    <t>Paso 06-08</t>
  </si>
  <si>
    <t>Nueva implementación → Derivar a Ventas → Gestionar cotización → Cerrar ticket (columnas K-T).</t>
  </si>
  <si>
    <t>Paso 09-12</t>
  </si>
  <si>
    <t>Soporte técnico → Derivar a Técnico → Resolver → Si requiere cotización, derivar a Ventas → Cerrar ticket.</t>
  </si>
  <si>
    <t>CAMPOS OBLIGATORIOS</t>
  </si>
  <si>
    <t>N° Ticket (A)</t>
  </si>
  <si>
    <t>Número correlativo. Formato recomendado: TKT-001, TKT-002, …</t>
  </si>
  <si>
    <t>Fecha/Hora Recepción (B/C)</t>
  </si>
  <si>
    <t>Registrar en el momento en que llega el correo.</t>
  </si>
  <si>
    <t>Tipo de Solicitud (H)</t>
  </si>
  <si>
    <t>Seleccionar de la lista: Soporte Técnico | Nueva Implementación | Consulta Simple | Otro</t>
  </si>
  <si>
    <t>Descripción (I)</t>
  </si>
  <si>
    <t>Resumen del problema o solicitud reportada por el cliente.</t>
  </si>
  <si>
    <t>Prioridad (J)</t>
  </si>
  <si>
    <t>Alta / Media / Baja según urgencia del negocio.</t>
  </si>
  <si>
    <t>Área Responsable (K)</t>
  </si>
  <si>
    <t>Se asigna automáticamente al clasificar en el Paso 05.</t>
  </si>
  <si>
    <t>Nombre del Responsable (L)</t>
  </si>
  <si>
    <t>Técnico o vendedor que atendió el ticket.</t>
  </si>
  <si>
    <t>Estado (M)</t>
  </si>
  <si>
    <t>Actualizar: Abierto → En Proceso → Cerrado.</t>
  </si>
  <si>
    <t>Fecha/Hora Asignación (N)</t>
  </si>
  <si>
    <t>Cuando el recepcionista deriva el ticket.</t>
  </si>
  <si>
    <t>Fecha/Hora Cierre (O)</t>
  </si>
  <si>
    <t>Cuando el responsable marca el ticket como resuelto.</t>
  </si>
  <si>
    <t>SLA Máx. (Q)</t>
  </si>
  <si>
    <t>Se calcula automáticamente: 72h = soporte, 48h = ventas.</t>
  </si>
  <si>
    <t>¿Dentro de SLA? (R)</t>
  </si>
  <si>
    <t>Se calcula automáticamente con color: verde SÍ / rojo NO.</t>
  </si>
  <si>
    <t>Requirió Cotización (S)</t>
  </si>
  <si>
    <t>Sí / No – dato clave para el KPI 3.</t>
  </si>
  <si>
    <t>INDICADORES (Dashboard)</t>
  </si>
  <si>
    <t>KPI 1 – % Cumplimiento SLA</t>
  </si>
  <si>
    <t>(Tickets dentro del plazo / Total cerrados) × 100   ──  Meta: ≥ 90%</t>
  </si>
  <si>
    <t>KPI 2 – Tiempo Prom. Asignación</t>
  </si>
  <si>
    <t>Promedio de horas de atención de tickets de requerimiento  ──  Meta: ≤ 0.5 h</t>
  </si>
  <si>
    <t>KPI 3 – Tasa de Conversión</t>
  </si>
  <si>
    <t>(Implementaciones aprobadas / Total derivadas a ventas) × 100  ──  Meta: ≥ 60%</t>
  </si>
  <si>
    <t>CONTROL DE REQUERIMIENTOS</t>
  </si>
  <si>
    <t>DASHBOARD DE KPIs – SOLICITUDES TI</t>
  </si>
  <si>
    <t>Grupo 5  –  Procedimiento de Solicitudes de Servicio TI  v2</t>
  </si>
  <si>
    <t>Código</t>
  </si>
  <si>
    <t>Si es requerimiento → Registrar en esta hoja: Nº ticket correlativo, datos y plazos</t>
  </si>
  <si>
    <t>Nombre del Servicio / Requerimiento</t>
  </si>
  <si>
    <t>REQ-SEC-01</t>
  </si>
  <si>
    <t>Soporte para Alta, Baja o Modificación de Usuarios</t>
  </si>
  <si>
    <t>REQ-SEC-02</t>
  </si>
  <si>
    <t>Blanqueo / Reseteo de Contraseñas</t>
  </si>
  <si>
    <t>REQ-OPS-01</t>
  </si>
  <si>
    <t>Configuración y Modificación de Parámetros de Salón</t>
  </si>
  <si>
    <t>REQ-OPS-02</t>
  </si>
  <si>
    <t>Soporte en Mantenimiento y Carga de Catálogo/Carta</t>
  </si>
  <si>
    <t>REQ-OPS-03</t>
  </si>
  <si>
    <t>Fallas Críticas</t>
  </si>
  <si>
    <t>REQ-INF-01</t>
  </si>
  <si>
    <t>Atención de Consultas de Usuario Final</t>
  </si>
  <si>
    <t>REQ-INF-02</t>
  </si>
  <si>
    <t>Extracción y Consolidación de Reportes Especiales</t>
  </si>
  <si>
    <t>REQ-VTA-01</t>
  </si>
  <si>
    <t>REQ-VTA-02</t>
  </si>
  <si>
    <t>Código de Requerimiento</t>
  </si>
  <si>
    <t>Respuesta Instantánea</t>
  </si>
  <si>
    <t>Tiempo de Respuesta</t>
  </si>
  <si>
    <t>Nombre de la solicitud</t>
  </si>
  <si>
    <t>Max. horas de Respuesta</t>
  </si>
  <si>
    <t>Cotización para Implementación de Nuevos Módulos o Integraciones</t>
  </si>
  <si>
    <t>Cotización de Despliegue e Interconexión de Nuevas Sucursales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</si>
</sst>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\%"/>
    <numFmt numFmtId="165" formatCode="0.00&quot; h&quot;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AAAAAA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26"/>
      <color rgb="FF2E75B6"/>
      <name val="Arial"/>
      <family val="2"/>
    </font>
    <font>
      <b/>
      <sz val="11"/>
      <color rgb="FF1E8449"/>
      <name val="Arial"/>
      <family val="2"/>
    </font>
    <font>
      <sz val="9"/>
      <color rgb="FF444444"/>
      <name val="Arial"/>
      <family val="2"/>
    </font>
    <font>
      <b/>
      <sz val="10"/>
      <name val="Arial"/>
      <family val="2"/>
    </font>
    <font>
      <b/>
      <sz val="10"/>
      <color rgb="FF2E75B6"/>
      <name val="Arial"/>
      <family val="2"/>
    </font>
    <font>
      <sz val="9"/>
      <color rgb="FF777777"/>
      <name val="Arial"/>
      <family val="2"/>
    </font>
    <font>
      <b/>
      <sz val="9"/>
      <color rgb="FF2E75B6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C3E50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2E4057"/>
        <bgColor rgb="FF2C3E50"/>
      </patternFill>
    </fill>
    <fill>
      <patternFill patternType="solid">
        <fgColor rgb="FFFFFFFF"/>
        <bgColor rgb="FFF2F8FF"/>
      </patternFill>
    </fill>
    <fill>
      <patternFill patternType="solid">
        <fgColor rgb="FFF2F8FF"/>
        <bgColor rgb="FFFFFFFF"/>
      </patternFill>
    </fill>
    <fill>
      <patternFill patternType="solid">
        <fgColor rgb="FFE8F5E9"/>
        <bgColor rgb="FFF2F8FF"/>
      </patternFill>
    </fill>
    <fill>
      <patternFill patternType="solid">
        <fgColor rgb="FF1A1A1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7" fillId="6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vertical="center" wrapText="1"/>
    </xf>
    <xf numFmtId="0" fontId="16" fillId="10" borderId="5" xfId="0" applyFont="1" applyFill="1" applyBorder="1" applyAlignment="1">
      <alignment vertical="center" wrapText="1"/>
    </xf>
    <xf numFmtId="0" fontId="15" fillId="11" borderId="5" xfId="0" applyFont="1" applyFill="1" applyBorder="1" applyAlignment="1">
      <alignment vertical="center" wrapText="1"/>
    </xf>
    <xf numFmtId="0" fontId="16" fillId="11" borderId="5" xfId="0" applyFont="1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22" fontId="4" fillId="6" borderId="2" xfId="0" applyNumberFormat="1" applyFont="1" applyFill="1" applyBorder="1" applyAlignment="1">
      <alignment horizontal="left" vertical="center" wrapText="1"/>
    </xf>
    <xf numFmtId="22" fontId="4" fillId="7" borderId="2" xfId="0" applyNumberFormat="1" applyFont="1" applyFill="1" applyBorder="1" applyAlignment="1">
      <alignment horizontal="left" vertical="center" wrapText="1"/>
    </xf>
    <xf numFmtId="20" fontId="4" fillId="6" borderId="2" xfId="0" applyNumberFormat="1" applyFont="1" applyFill="1" applyBorder="1" applyAlignment="1">
      <alignment horizontal="left" vertical="center" wrapText="1"/>
    </xf>
    <xf numFmtId="20" fontId="4" fillId="7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B71C1C"/>
      </font>
      <fill>
        <patternFill>
          <bgColor rgb="FFFFCDD2"/>
        </patternFill>
      </fill>
    </dxf>
    <dxf>
      <font>
        <b/>
        <color rgb="FFE65100"/>
      </font>
      <fill>
        <patternFill>
          <bgColor rgb="FFFFF3E0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B71C1C"/>
      </font>
      <fill>
        <patternFill>
          <bgColor rgb="FFFFCDD2"/>
        </patternFill>
      </fill>
    </dxf>
    <dxf>
      <font>
        <b/>
        <color rgb="FF1B5E20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777777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F"/>
      <rgbColor rgb="FFC8E6C9"/>
      <rgbColor rgb="FFFFFF99"/>
      <rgbColor rgb="FF99CCFF"/>
      <rgbColor rgb="FFFF99CC"/>
      <rgbColor rgb="FFCC99FF"/>
      <rgbColor rgb="FFFFCDD2"/>
      <rgbColor rgb="FF2E75B6"/>
      <rgbColor rgb="FF33CCCC"/>
      <rgbColor rgb="FF99CC00"/>
      <rgbColor rgb="FFFFCC00"/>
      <rgbColor rgb="FFFF9900"/>
      <rgbColor rgb="FFE65100"/>
      <rgbColor rgb="FF444444"/>
      <rgbColor rgb="FFAAAAAA"/>
      <rgbColor rgb="FF1F3864"/>
      <rgbColor rgb="FF1E8449"/>
      <rgbColor rgb="FF003300"/>
      <rgbColor rgb="FF1A1A1A"/>
      <rgbColor rgb="FFB71C1C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tabSelected="1" zoomScale="85" zoomScaleNormal="85" workbookViewId="0">
      <pane ySplit="4" topLeftCell="A5" activePane="bottomLeft" state="frozen"/>
      <selection pane="bottomLeft" activeCell="E8" sqref="E8"/>
    </sheetView>
  </sheetViews>
  <sheetFormatPr baseColWidth="10" defaultColWidth="8.7109375" defaultRowHeight="15" x14ac:dyDescent="0.25"/>
  <cols>
    <col min="1" max="1" width="13" customWidth="1"/>
    <col min="2" max="2" width="18" customWidth="1"/>
    <col min="3" max="3" width="12.140625" customWidth="1"/>
    <col min="4" max="4" width="14.7109375" customWidth="1"/>
    <col min="5" max="5" width="28.85546875" customWidth="1"/>
    <col min="6" max="6" width="14" customWidth="1"/>
    <col min="7" max="7" width="22" customWidth="1"/>
    <col min="8" max="8" width="28" customWidth="1"/>
    <col min="9" max="10" width="18" customWidth="1"/>
    <col min="11" max="11" width="38" customWidth="1"/>
    <col min="12" max="12" width="12" customWidth="1"/>
    <col min="13" max="13" width="18" customWidth="1"/>
    <col min="14" max="14" width="22" customWidth="1"/>
    <col min="15" max="15" width="16" customWidth="1"/>
    <col min="16" max="17" width="20" customWidth="1"/>
    <col min="18" max="18" width="18" customWidth="1"/>
    <col min="19" max="19" width="13" customWidth="1"/>
    <col min="20" max="20" width="14" customWidth="1"/>
    <col min="21" max="21" width="17" customWidth="1"/>
    <col min="22" max="22" width="38" customWidth="1"/>
  </cols>
  <sheetData>
    <row r="1" spans="1:22" ht="31.5" customHeight="1" x14ac:dyDescent="0.25">
      <c r="A1" s="13" t="s">
        <v>159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5.75" customHeight="1" x14ac:dyDescent="0.25">
      <c r="A2" s="14" t="s">
        <v>161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9.5" customHeight="1" x14ac:dyDescent="0.25">
      <c r="A3" s="15" t="s">
        <v>0</v>
      </c>
      <c r="B3" s="15"/>
      <c r="C3" s="15"/>
      <c r="D3" s="15"/>
      <c r="E3" s="15"/>
      <c r="F3" s="15"/>
      <c r="G3" s="15" t="s">
        <v>1</v>
      </c>
      <c r="H3" s="15"/>
      <c r="I3" s="15"/>
      <c r="J3" s="15" t="s">
        <v>2</v>
      </c>
      <c r="K3" s="15"/>
      <c r="L3" s="15"/>
      <c r="M3" s="15" t="s">
        <v>3</v>
      </c>
      <c r="N3" s="15"/>
      <c r="O3" s="15"/>
      <c r="P3" s="15" t="s">
        <v>4</v>
      </c>
      <c r="Q3" s="15"/>
      <c r="R3" s="15"/>
      <c r="S3" s="15" t="s">
        <v>5</v>
      </c>
      <c r="T3" s="15"/>
      <c r="U3" s="15"/>
      <c r="V3" s="15"/>
    </row>
    <row r="4" spans="1:22" ht="36" customHeight="1" x14ac:dyDescent="0.25">
      <c r="A4" s="1" t="s">
        <v>6</v>
      </c>
      <c r="B4" s="1" t="s">
        <v>7</v>
      </c>
      <c r="C4" s="1" t="s">
        <v>8</v>
      </c>
      <c r="D4" s="1" t="s">
        <v>181</v>
      </c>
      <c r="E4" s="1" t="s">
        <v>184</v>
      </c>
      <c r="F4" s="1" t="s">
        <v>185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</row>
    <row r="5" spans="1:22" ht="24" x14ac:dyDescent="0.25">
      <c r="A5" s="2" t="s">
        <v>25</v>
      </c>
      <c r="B5" s="2" t="s">
        <v>26</v>
      </c>
      <c r="C5" s="2" t="s">
        <v>27</v>
      </c>
      <c r="D5" s="2" t="s">
        <v>167</v>
      </c>
      <c r="E5" s="2" t="str">
        <f>VLOOKUP(D5,'📖 Instrucciones'!$D$3:$E$12,2,FALSE)</f>
        <v>Blanqueo / Reseteo de Contraseñas</v>
      </c>
      <c r="F5" s="2">
        <f>VLOOKUP(D5,'📖 Instrucciones'!$D$3:$F$12,3,FALSE)</f>
        <v>24</v>
      </c>
      <c r="G5" s="3" t="s">
        <v>28</v>
      </c>
      <c r="H5" s="3" t="s">
        <v>29</v>
      </c>
      <c r="I5" s="2" t="s">
        <v>30</v>
      </c>
      <c r="J5" s="3" t="s">
        <v>31</v>
      </c>
      <c r="K5" s="3" t="s">
        <v>32</v>
      </c>
      <c r="L5" s="2" t="s">
        <v>33</v>
      </c>
      <c r="M5" s="2" t="s">
        <v>31</v>
      </c>
      <c r="N5" s="3" t="s">
        <v>34</v>
      </c>
      <c r="O5" s="2" t="s">
        <v>35</v>
      </c>
      <c r="P5" s="31">
        <f>B5+C5</f>
        <v>46175.385416666664</v>
      </c>
      <c r="Q5" s="3" t="s">
        <v>36</v>
      </c>
      <c r="R5" s="33">
        <f>Q5-P5</f>
        <v>0.10416666667151731</v>
      </c>
      <c r="S5" s="2">
        <f>F5</f>
        <v>24</v>
      </c>
      <c r="T5" s="2" t="str">
        <f>IF(R5="","",IF(R5&lt;=S5,"SÍ","NO"))</f>
        <v>SÍ</v>
      </c>
      <c r="U5" s="2" t="s">
        <v>37</v>
      </c>
      <c r="V5" s="3" t="s">
        <v>38</v>
      </c>
    </row>
    <row r="6" spans="1:22" ht="24" x14ac:dyDescent="0.25">
      <c r="A6" s="4" t="s">
        <v>39</v>
      </c>
      <c r="B6" s="4" t="s">
        <v>26</v>
      </c>
      <c r="C6" s="4" t="s">
        <v>40</v>
      </c>
      <c r="D6" s="4" t="s">
        <v>179</v>
      </c>
      <c r="E6" s="4" t="str">
        <f>VLOOKUP(D6,'📖 Instrucciones'!$D$3:$E$12,2,FALSE)</f>
        <v>Cotización para Implementación de Nuevos Módulos o Integraciones</v>
      </c>
      <c r="F6" s="4">
        <f>VLOOKUP(D6,'📖 Instrucciones'!$D$3:$F$12,3,FALSE)</f>
        <v>48</v>
      </c>
      <c r="G6" s="5" t="s">
        <v>41</v>
      </c>
      <c r="H6" s="5" t="s">
        <v>42</v>
      </c>
      <c r="I6" s="4" t="s">
        <v>43</v>
      </c>
      <c r="J6" s="5" t="s">
        <v>44</v>
      </c>
      <c r="K6" s="5" t="s">
        <v>45</v>
      </c>
      <c r="L6" s="4" t="s">
        <v>46</v>
      </c>
      <c r="M6" s="4" t="s">
        <v>47</v>
      </c>
      <c r="N6" s="5" t="s">
        <v>48</v>
      </c>
      <c r="O6" s="4" t="s">
        <v>49</v>
      </c>
      <c r="P6" s="32">
        <f>B6+C6</f>
        <v>46175.420138888891</v>
      </c>
      <c r="Q6" s="5"/>
      <c r="R6" s="34"/>
      <c r="S6" s="2">
        <f t="shared" ref="S6:S54" si="0">F6</f>
        <v>48</v>
      </c>
      <c r="T6" s="4" t="str">
        <f>IF(R6="","En proceso",IF(R6&lt;=S6,"SÍ","NO"))</f>
        <v>En proceso</v>
      </c>
      <c r="U6" s="4" t="s">
        <v>50</v>
      </c>
      <c r="V6" s="5" t="s">
        <v>51</v>
      </c>
    </row>
    <row r="7" spans="1:22" ht="24" x14ac:dyDescent="0.25">
      <c r="A7" s="2" t="s">
        <v>52</v>
      </c>
      <c r="B7" s="2" t="s">
        <v>53</v>
      </c>
      <c r="C7" s="2" t="s">
        <v>54</v>
      </c>
      <c r="D7" s="2" t="s">
        <v>173</v>
      </c>
      <c r="E7" s="2" t="str">
        <f>VLOOKUP(D7,'📖 Instrucciones'!$D$3:$E$12,2,FALSE)</f>
        <v>Fallas Críticas</v>
      </c>
      <c r="F7" s="2">
        <f>VLOOKUP(D7,'📖 Instrucciones'!$D$3:$F$12,3,FALSE)</f>
        <v>4</v>
      </c>
      <c r="G7" s="3" t="s">
        <v>55</v>
      </c>
      <c r="H7" s="3" t="s">
        <v>56</v>
      </c>
      <c r="I7" s="2" t="s">
        <v>57</v>
      </c>
      <c r="J7" s="3" t="s">
        <v>31</v>
      </c>
      <c r="K7" s="3" t="s">
        <v>58</v>
      </c>
      <c r="L7" s="2" t="s">
        <v>33</v>
      </c>
      <c r="M7" s="2" t="s">
        <v>31</v>
      </c>
      <c r="N7" s="3" t="s">
        <v>59</v>
      </c>
      <c r="O7" s="2" t="s">
        <v>35</v>
      </c>
      <c r="P7" s="31">
        <f t="shared" ref="P7:P9" si="1">B7+C7</f>
        <v>46174.604166666664</v>
      </c>
      <c r="Q7" s="3" t="s">
        <v>60</v>
      </c>
      <c r="R7" s="33">
        <f>Q7-P7</f>
        <v>0.74305555555474712</v>
      </c>
      <c r="S7" s="2">
        <f t="shared" si="0"/>
        <v>4</v>
      </c>
      <c r="T7" s="2" t="str">
        <f t="shared" ref="T7:T54" si="2">IF(R7="","",IF(R7&lt;=S7,"SÍ","NO"))</f>
        <v>SÍ</v>
      </c>
      <c r="U7" s="2" t="s">
        <v>37</v>
      </c>
      <c r="V7" s="3" t="s">
        <v>61</v>
      </c>
    </row>
    <row r="8" spans="1:22" ht="24" x14ac:dyDescent="0.25">
      <c r="A8" s="4" t="s">
        <v>62</v>
      </c>
      <c r="B8" s="4" t="s">
        <v>53</v>
      </c>
      <c r="C8" s="4" t="s">
        <v>63</v>
      </c>
      <c r="D8" s="4" t="s">
        <v>180</v>
      </c>
      <c r="E8" s="4" t="str">
        <f>VLOOKUP(D8,'📖 Instrucciones'!$D$3:$E$12,2,FALSE)</f>
        <v>Cotización de Despliegue e Interconexión de Nuevas Sucursales</v>
      </c>
      <c r="F8" s="4">
        <f>VLOOKUP(D8,'📖 Instrucciones'!$D$3:$F$12,3,FALSE)</f>
        <v>120</v>
      </c>
      <c r="G8" s="5" t="s">
        <v>64</v>
      </c>
      <c r="H8" s="5" t="s">
        <v>65</v>
      </c>
      <c r="I8" s="4" t="s">
        <v>66</v>
      </c>
      <c r="J8" s="5" t="s">
        <v>44</v>
      </c>
      <c r="K8" s="5" t="s">
        <v>67</v>
      </c>
      <c r="L8" s="4" t="s">
        <v>46</v>
      </c>
      <c r="M8" s="4" t="s">
        <v>47</v>
      </c>
      <c r="N8" s="5" t="s">
        <v>68</v>
      </c>
      <c r="O8" s="4" t="s">
        <v>35</v>
      </c>
      <c r="P8" s="32">
        <f t="shared" si="1"/>
        <v>46174.458333333336</v>
      </c>
      <c r="Q8" s="5" t="s">
        <v>69</v>
      </c>
      <c r="R8" s="5">
        <v>21.75</v>
      </c>
      <c r="S8" s="2">
        <f t="shared" si="0"/>
        <v>120</v>
      </c>
      <c r="T8" s="4" t="str">
        <f t="shared" si="2"/>
        <v>SÍ</v>
      </c>
      <c r="U8" s="4" t="s">
        <v>50</v>
      </c>
      <c r="V8" s="5" t="s">
        <v>70</v>
      </c>
    </row>
    <row r="9" spans="1:22" ht="24" x14ac:dyDescent="0.25">
      <c r="A9" s="2" t="s">
        <v>71</v>
      </c>
      <c r="B9" s="2" t="s">
        <v>72</v>
      </c>
      <c r="C9" s="2" t="s">
        <v>73</v>
      </c>
      <c r="D9" s="2" t="s">
        <v>177</v>
      </c>
      <c r="E9" s="2" t="str">
        <f>VLOOKUP(D9,'📖 Instrucciones'!$D$3:$E$12,2,FALSE)</f>
        <v>Extracción y Consolidación de Reportes Especiales</v>
      </c>
      <c r="F9" s="2">
        <f>VLOOKUP(D9,'📖 Instrucciones'!$D$3:$F$12,3,FALSE)</f>
        <v>24</v>
      </c>
      <c r="G9" s="3" t="s">
        <v>74</v>
      </c>
      <c r="H9" s="3" t="s">
        <v>75</v>
      </c>
      <c r="I9" s="2" t="s">
        <v>76</v>
      </c>
      <c r="J9" s="3" t="s">
        <v>31</v>
      </c>
      <c r="K9" s="3" t="s">
        <v>77</v>
      </c>
      <c r="L9" s="2" t="s">
        <v>33</v>
      </c>
      <c r="M9" s="2" t="s">
        <v>31</v>
      </c>
      <c r="N9" s="3" t="s">
        <v>78</v>
      </c>
      <c r="O9" s="2" t="s">
        <v>35</v>
      </c>
      <c r="P9" s="31">
        <f t="shared" si="1"/>
        <v>46173.666666666664</v>
      </c>
      <c r="Q9" s="3" t="s">
        <v>79</v>
      </c>
      <c r="R9" s="3">
        <v>21.83</v>
      </c>
      <c r="S9" s="2">
        <f t="shared" si="0"/>
        <v>24</v>
      </c>
      <c r="T9" s="2" t="str">
        <f t="shared" si="2"/>
        <v>SÍ</v>
      </c>
      <c r="U9" s="2" t="s">
        <v>37</v>
      </c>
      <c r="V9" s="3" t="s">
        <v>80</v>
      </c>
    </row>
    <row r="10" spans="1:22" x14ac:dyDescent="0.25">
      <c r="A10" s="4"/>
      <c r="B10" s="4"/>
      <c r="C10" s="4"/>
      <c r="D10" s="4"/>
      <c r="E10" s="4" t="e">
        <f>VLOOKUP(D10,'📖 Instrucciones'!$D$3:$E$12,2,FALSE)</f>
        <v>#N/A</v>
      </c>
      <c r="F10" s="2" t="e">
        <f>VLOOKUP(D10,'📖 Instrucciones'!$D$3:$F$12,3,FALSE)</f>
        <v>#N/A</v>
      </c>
      <c r="G10" s="5"/>
      <c r="H10" s="5"/>
      <c r="I10" s="4"/>
      <c r="J10" s="5"/>
      <c r="K10" s="5"/>
      <c r="L10" s="4"/>
      <c r="M10" s="4"/>
      <c r="N10" s="5"/>
      <c r="O10" s="4"/>
      <c r="P10" s="5"/>
      <c r="Q10" s="5"/>
      <c r="R10" s="5"/>
      <c r="S10" s="2" t="e">
        <f t="shared" si="0"/>
        <v>#N/A</v>
      </c>
      <c r="T10" s="4" t="str">
        <f t="shared" si="2"/>
        <v/>
      </c>
      <c r="U10" s="4"/>
      <c r="V10" s="5"/>
    </row>
    <row r="11" spans="1:22" x14ac:dyDescent="0.25">
      <c r="A11" s="2"/>
      <c r="B11" s="2"/>
      <c r="C11" s="2"/>
      <c r="D11" s="2"/>
      <c r="E11" s="2" t="e">
        <f>VLOOKUP(D11,'📖 Instrucciones'!$D$3:$E$12,2,FALSE)</f>
        <v>#N/A</v>
      </c>
      <c r="F11" s="4" t="e">
        <f>VLOOKUP(D11,'📖 Instrucciones'!$D$3:$F$12,3,FALSE)</f>
        <v>#N/A</v>
      </c>
      <c r="G11" s="3"/>
      <c r="H11" s="3"/>
      <c r="I11" s="2"/>
      <c r="J11" s="3"/>
      <c r="K11" s="3"/>
      <c r="L11" s="2"/>
      <c r="M11" s="2"/>
      <c r="N11" s="3"/>
      <c r="O11" s="2"/>
      <c r="P11" s="3"/>
      <c r="Q11" s="3"/>
      <c r="R11" s="3"/>
      <c r="S11" s="2" t="e">
        <f t="shared" si="0"/>
        <v>#N/A</v>
      </c>
      <c r="T11" s="2" t="str">
        <f t="shared" si="2"/>
        <v/>
      </c>
      <c r="U11" s="2"/>
      <c r="V11" s="3"/>
    </row>
    <row r="12" spans="1:22" x14ac:dyDescent="0.25">
      <c r="A12" s="4"/>
      <c r="B12" s="4"/>
      <c r="C12" s="4"/>
      <c r="D12" s="4"/>
      <c r="E12" s="4" t="e">
        <f>VLOOKUP(D12,'📖 Instrucciones'!$D$3:$E$12,2,FALSE)</f>
        <v>#N/A</v>
      </c>
      <c r="F12" s="2" t="e">
        <f>VLOOKUP(D12,'📖 Instrucciones'!$D$3:$F$12,3,FALSE)</f>
        <v>#N/A</v>
      </c>
      <c r="G12" s="5"/>
      <c r="H12" s="5"/>
      <c r="I12" s="4"/>
      <c r="J12" s="5"/>
      <c r="K12" s="5"/>
      <c r="L12" s="4"/>
      <c r="M12" s="4"/>
      <c r="N12" s="5"/>
      <c r="O12" s="4"/>
      <c r="P12" s="5"/>
      <c r="Q12" s="5"/>
      <c r="R12" s="5"/>
      <c r="S12" s="2" t="e">
        <f t="shared" si="0"/>
        <v>#N/A</v>
      </c>
      <c r="T12" s="4" t="str">
        <f t="shared" si="2"/>
        <v/>
      </c>
      <c r="U12" s="4"/>
      <c r="V12" s="5"/>
    </row>
    <row r="13" spans="1:22" x14ac:dyDescent="0.25">
      <c r="A13" s="2"/>
      <c r="B13" s="2"/>
      <c r="C13" s="2"/>
      <c r="D13" s="2"/>
      <c r="E13" s="2" t="e">
        <f>VLOOKUP(D13,'📖 Instrucciones'!$D$3:$E$12,2,FALSE)</f>
        <v>#N/A</v>
      </c>
      <c r="F13" s="4" t="e">
        <f>VLOOKUP(D13,'📖 Instrucciones'!$D$3:$F$12,3,FALSE)</f>
        <v>#N/A</v>
      </c>
      <c r="G13" s="3"/>
      <c r="H13" s="3"/>
      <c r="I13" s="2"/>
      <c r="J13" s="3"/>
      <c r="K13" s="3"/>
      <c r="L13" s="2"/>
      <c r="M13" s="2"/>
      <c r="N13" s="3"/>
      <c r="O13" s="2"/>
      <c r="P13" s="3"/>
      <c r="Q13" s="3"/>
      <c r="R13" s="3"/>
      <c r="S13" s="2" t="e">
        <f t="shared" si="0"/>
        <v>#N/A</v>
      </c>
      <c r="T13" s="2" t="str">
        <f t="shared" si="2"/>
        <v/>
      </c>
      <c r="U13" s="2"/>
      <c r="V13" s="3"/>
    </row>
    <row r="14" spans="1:22" x14ac:dyDescent="0.25">
      <c r="A14" s="4"/>
      <c r="B14" s="4"/>
      <c r="C14" s="4"/>
      <c r="D14" s="4"/>
      <c r="E14" s="4" t="e">
        <f>VLOOKUP(D14,'📖 Instrucciones'!$D$3:$E$12,2,FALSE)</f>
        <v>#N/A</v>
      </c>
      <c r="F14" s="2" t="e">
        <f>VLOOKUP(D14,'📖 Instrucciones'!$D$3:$F$12,3,FALSE)</f>
        <v>#N/A</v>
      </c>
      <c r="G14" s="5"/>
      <c r="H14" s="5"/>
      <c r="I14" s="4"/>
      <c r="J14" s="5"/>
      <c r="K14" s="5"/>
      <c r="L14" s="4"/>
      <c r="M14" s="4"/>
      <c r="N14" s="5"/>
      <c r="O14" s="4"/>
      <c r="P14" s="5"/>
      <c r="Q14" s="5"/>
      <c r="R14" s="5"/>
      <c r="S14" s="2" t="e">
        <f t="shared" si="0"/>
        <v>#N/A</v>
      </c>
      <c r="T14" s="4" t="str">
        <f t="shared" si="2"/>
        <v/>
      </c>
      <c r="U14" s="4"/>
      <c r="V14" s="5"/>
    </row>
    <row r="15" spans="1:22" x14ac:dyDescent="0.25">
      <c r="A15" s="2"/>
      <c r="B15" s="2"/>
      <c r="C15" s="2"/>
      <c r="D15" s="2"/>
      <c r="E15" s="2" t="e">
        <f>VLOOKUP(D15,'📖 Instrucciones'!$D$3:$E$12,2,FALSE)</f>
        <v>#N/A</v>
      </c>
      <c r="F15" s="2" t="e">
        <f>VLOOKUP(D15,'📖 Instrucciones'!$D$3:$F$12,3,FALSE)</f>
        <v>#N/A</v>
      </c>
      <c r="G15" s="3"/>
      <c r="H15" s="3"/>
      <c r="I15" s="2"/>
      <c r="J15" s="3"/>
      <c r="K15" s="3"/>
      <c r="L15" s="2"/>
      <c r="M15" s="2"/>
      <c r="N15" s="3"/>
      <c r="O15" s="2"/>
      <c r="P15" s="3"/>
      <c r="Q15" s="3"/>
      <c r="R15" s="3"/>
      <c r="S15" s="2" t="e">
        <f t="shared" si="0"/>
        <v>#N/A</v>
      </c>
      <c r="T15" s="2" t="str">
        <f t="shared" si="2"/>
        <v/>
      </c>
      <c r="U15" s="2"/>
      <c r="V15" s="3"/>
    </row>
    <row r="16" spans="1:22" x14ac:dyDescent="0.25">
      <c r="A16" s="4"/>
      <c r="B16" s="4"/>
      <c r="C16" s="4"/>
      <c r="D16" s="4"/>
      <c r="E16" s="4" t="e">
        <f>VLOOKUP(D16,'📖 Instrucciones'!$D$3:$E$12,2,FALSE)</f>
        <v>#N/A</v>
      </c>
      <c r="F16" s="4" t="e">
        <f>VLOOKUP(D16,'📖 Instrucciones'!$D$3:$F$12,3,FALSE)</f>
        <v>#N/A</v>
      </c>
      <c r="G16" s="5"/>
      <c r="H16" s="5"/>
      <c r="I16" s="4"/>
      <c r="J16" s="5"/>
      <c r="K16" s="5"/>
      <c r="L16" s="4"/>
      <c r="M16" s="4"/>
      <c r="N16" s="5"/>
      <c r="O16" s="4"/>
      <c r="P16" s="5"/>
      <c r="Q16" s="5"/>
      <c r="R16" s="5"/>
      <c r="S16" s="2" t="e">
        <f t="shared" si="0"/>
        <v>#N/A</v>
      </c>
      <c r="T16" s="4" t="str">
        <f t="shared" si="2"/>
        <v/>
      </c>
      <c r="U16" s="4"/>
      <c r="V16" s="5"/>
    </row>
    <row r="17" spans="1:22" x14ac:dyDescent="0.25">
      <c r="A17" s="2"/>
      <c r="B17" s="2"/>
      <c r="C17" s="2"/>
      <c r="D17" s="2"/>
      <c r="E17" s="2" t="e">
        <f>VLOOKUP(D17,'📖 Instrucciones'!$D$3:$E$12,2,FALSE)</f>
        <v>#N/A</v>
      </c>
      <c r="F17" s="2" t="e">
        <f>VLOOKUP(D17,'📖 Instrucciones'!$D$3:$F$12,3,FALSE)</f>
        <v>#N/A</v>
      </c>
      <c r="G17" s="3"/>
      <c r="H17" s="3"/>
      <c r="I17" s="2"/>
      <c r="J17" s="3"/>
      <c r="K17" s="3"/>
      <c r="L17" s="2"/>
      <c r="M17" s="2"/>
      <c r="N17" s="3"/>
      <c r="O17" s="2"/>
      <c r="P17" s="3"/>
      <c r="Q17" s="3"/>
      <c r="R17" s="3"/>
      <c r="S17" s="2" t="e">
        <f t="shared" si="0"/>
        <v>#N/A</v>
      </c>
      <c r="T17" s="2" t="str">
        <f t="shared" si="2"/>
        <v/>
      </c>
      <c r="U17" s="2"/>
      <c r="V17" s="3"/>
    </row>
    <row r="18" spans="1:22" x14ac:dyDescent="0.25">
      <c r="A18" s="4"/>
      <c r="B18" s="4"/>
      <c r="C18" s="4"/>
      <c r="D18" s="4"/>
      <c r="E18" s="4"/>
      <c r="F18" s="4"/>
      <c r="G18" s="5"/>
      <c r="H18" s="5"/>
      <c r="I18" s="4"/>
      <c r="J18" s="5"/>
      <c r="K18" s="5"/>
      <c r="L18" s="4"/>
      <c r="M18" s="4"/>
      <c r="N18" s="5"/>
      <c r="O18" s="4"/>
      <c r="P18" s="5"/>
      <c r="Q18" s="5"/>
      <c r="R18" s="5"/>
      <c r="S18" s="2">
        <f t="shared" si="0"/>
        <v>0</v>
      </c>
      <c r="T18" s="4" t="str">
        <f t="shared" si="2"/>
        <v/>
      </c>
      <c r="U18" s="4"/>
      <c r="V18" s="5"/>
    </row>
    <row r="19" spans="1:22" x14ac:dyDescent="0.25">
      <c r="A19" s="2"/>
      <c r="B19" s="2"/>
      <c r="C19" s="2"/>
      <c r="D19" s="2"/>
      <c r="E19" s="2"/>
      <c r="F19" s="2"/>
      <c r="G19" s="3"/>
      <c r="H19" s="3"/>
      <c r="I19" s="2"/>
      <c r="J19" s="3"/>
      <c r="K19" s="3"/>
      <c r="L19" s="2"/>
      <c r="M19" s="2"/>
      <c r="N19" s="3"/>
      <c r="O19" s="2"/>
      <c r="P19" s="3"/>
      <c r="Q19" s="3"/>
      <c r="R19" s="3"/>
      <c r="S19" s="2">
        <f t="shared" si="0"/>
        <v>0</v>
      </c>
      <c r="T19" s="2" t="str">
        <f t="shared" si="2"/>
        <v/>
      </c>
      <c r="U19" s="2"/>
      <c r="V19" s="3"/>
    </row>
    <row r="20" spans="1:22" x14ac:dyDescent="0.25">
      <c r="A20" s="4"/>
      <c r="B20" s="4"/>
      <c r="C20" s="4"/>
      <c r="D20" s="4"/>
      <c r="E20" s="4"/>
      <c r="F20" s="4"/>
      <c r="G20" s="5"/>
      <c r="H20" s="5"/>
      <c r="I20" s="4"/>
      <c r="J20" s="5"/>
      <c r="K20" s="5"/>
      <c r="L20" s="4"/>
      <c r="M20" s="4"/>
      <c r="N20" s="5"/>
      <c r="O20" s="4"/>
      <c r="P20" s="5"/>
      <c r="Q20" s="5"/>
      <c r="R20" s="5"/>
      <c r="S20" s="2">
        <f t="shared" si="0"/>
        <v>0</v>
      </c>
      <c r="T20" s="4" t="str">
        <f t="shared" si="2"/>
        <v/>
      </c>
      <c r="U20" s="4"/>
      <c r="V20" s="5"/>
    </row>
    <row r="21" spans="1:22" x14ac:dyDescent="0.25">
      <c r="A21" s="2"/>
      <c r="B21" s="2"/>
      <c r="C21" s="2"/>
      <c r="D21" s="2"/>
      <c r="E21" s="2"/>
      <c r="F21" s="2"/>
      <c r="G21" s="3"/>
      <c r="H21" s="3"/>
      <c r="I21" s="2"/>
      <c r="J21" s="3"/>
      <c r="K21" s="3"/>
      <c r="L21" s="2"/>
      <c r="M21" s="2"/>
      <c r="N21" s="3"/>
      <c r="O21" s="2"/>
      <c r="P21" s="3"/>
      <c r="Q21" s="3"/>
      <c r="R21" s="3"/>
      <c r="S21" s="2">
        <f t="shared" si="0"/>
        <v>0</v>
      </c>
      <c r="T21" s="2" t="str">
        <f t="shared" si="2"/>
        <v/>
      </c>
      <c r="U21" s="2"/>
      <c r="V21" s="3"/>
    </row>
    <row r="22" spans="1:22" x14ac:dyDescent="0.25">
      <c r="A22" s="4"/>
      <c r="B22" s="4"/>
      <c r="C22" s="4"/>
      <c r="D22" s="4"/>
      <c r="E22" s="4"/>
      <c r="F22" s="4"/>
      <c r="G22" s="5"/>
      <c r="H22" s="5"/>
      <c r="I22" s="4"/>
      <c r="J22" s="5"/>
      <c r="K22" s="5"/>
      <c r="L22" s="4"/>
      <c r="M22" s="4"/>
      <c r="N22" s="5"/>
      <c r="O22" s="4"/>
      <c r="P22" s="5"/>
      <c r="Q22" s="5"/>
      <c r="R22" s="5"/>
      <c r="S22" s="2">
        <f t="shared" si="0"/>
        <v>0</v>
      </c>
      <c r="T22" s="4" t="str">
        <f t="shared" si="2"/>
        <v/>
      </c>
      <c r="U22" s="4"/>
      <c r="V22" s="5"/>
    </row>
    <row r="23" spans="1:22" x14ac:dyDescent="0.25">
      <c r="A23" s="2"/>
      <c r="B23" s="2"/>
      <c r="C23" s="2"/>
      <c r="D23" s="2"/>
      <c r="E23" s="2"/>
      <c r="F23" s="2"/>
      <c r="G23" s="3"/>
      <c r="H23" s="3"/>
      <c r="I23" s="2"/>
      <c r="J23" s="3"/>
      <c r="K23" s="3"/>
      <c r="L23" s="2"/>
      <c r="M23" s="2"/>
      <c r="N23" s="3"/>
      <c r="O23" s="2"/>
      <c r="P23" s="3"/>
      <c r="Q23" s="3"/>
      <c r="R23" s="3"/>
      <c r="S23" s="2">
        <f t="shared" si="0"/>
        <v>0</v>
      </c>
      <c r="T23" s="2" t="str">
        <f t="shared" si="2"/>
        <v/>
      </c>
      <c r="U23" s="2"/>
      <c r="V23" s="3"/>
    </row>
    <row r="24" spans="1:22" x14ac:dyDescent="0.25">
      <c r="A24" s="4"/>
      <c r="B24" s="4"/>
      <c r="C24" s="4"/>
      <c r="D24" s="4"/>
      <c r="E24" s="4"/>
      <c r="F24" s="4"/>
      <c r="G24" s="5"/>
      <c r="H24" s="5"/>
      <c r="I24" s="4"/>
      <c r="J24" s="5"/>
      <c r="K24" s="5"/>
      <c r="L24" s="4"/>
      <c r="M24" s="4"/>
      <c r="N24" s="5"/>
      <c r="O24" s="4"/>
      <c r="P24" s="5"/>
      <c r="Q24" s="5"/>
      <c r="R24" s="5"/>
      <c r="S24" s="2">
        <f t="shared" si="0"/>
        <v>0</v>
      </c>
      <c r="T24" s="4" t="str">
        <f t="shared" si="2"/>
        <v/>
      </c>
      <c r="U24" s="4"/>
      <c r="V24" s="5"/>
    </row>
    <row r="25" spans="1:22" x14ac:dyDescent="0.25">
      <c r="A25" s="2"/>
      <c r="B25" s="2"/>
      <c r="C25" s="2"/>
      <c r="D25" s="2"/>
      <c r="E25" s="2"/>
      <c r="F25" s="2"/>
      <c r="G25" s="3"/>
      <c r="H25" s="3"/>
      <c r="I25" s="2"/>
      <c r="J25" s="3"/>
      <c r="K25" s="3"/>
      <c r="L25" s="2"/>
      <c r="M25" s="2"/>
      <c r="N25" s="3"/>
      <c r="O25" s="2"/>
      <c r="P25" s="3"/>
      <c r="Q25" s="3"/>
      <c r="R25" s="3"/>
      <c r="S25" s="2">
        <f t="shared" si="0"/>
        <v>0</v>
      </c>
      <c r="T25" s="2" t="str">
        <f t="shared" si="2"/>
        <v/>
      </c>
      <c r="U25" s="2"/>
      <c r="V25" s="3"/>
    </row>
    <row r="26" spans="1:22" x14ac:dyDescent="0.25">
      <c r="A26" s="4"/>
      <c r="B26" s="4"/>
      <c r="C26" s="4"/>
      <c r="D26" s="4"/>
      <c r="E26" s="4"/>
      <c r="F26" s="4"/>
      <c r="G26" s="5"/>
      <c r="H26" s="5"/>
      <c r="I26" s="4"/>
      <c r="J26" s="5"/>
      <c r="K26" s="5"/>
      <c r="L26" s="4"/>
      <c r="M26" s="4"/>
      <c r="N26" s="5"/>
      <c r="O26" s="4"/>
      <c r="P26" s="5"/>
      <c r="Q26" s="5"/>
      <c r="R26" s="5"/>
      <c r="S26" s="2">
        <f t="shared" si="0"/>
        <v>0</v>
      </c>
      <c r="T26" s="4" t="str">
        <f t="shared" si="2"/>
        <v/>
      </c>
      <c r="U26" s="4"/>
      <c r="V26" s="5"/>
    </row>
    <row r="27" spans="1:22" x14ac:dyDescent="0.25">
      <c r="A27" s="2"/>
      <c r="B27" s="2"/>
      <c r="C27" s="2"/>
      <c r="D27" s="2"/>
      <c r="E27" s="2"/>
      <c r="F27" s="2"/>
      <c r="G27" s="3"/>
      <c r="H27" s="3"/>
      <c r="I27" s="2"/>
      <c r="J27" s="3"/>
      <c r="K27" s="3"/>
      <c r="L27" s="2"/>
      <c r="M27" s="2"/>
      <c r="N27" s="3"/>
      <c r="O27" s="2"/>
      <c r="P27" s="3"/>
      <c r="Q27" s="3"/>
      <c r="R27" s="3"/>
      <c r="S27" s="2">
        <f t="shared" si="0"/>
        <v>0</v>
      </c>
      <c r="T27" s="2" t="str">
        <f t="shared" si="2"/>
        <v/>
      </c>
      <c r="U27" s="2"/>
      <c r="V27" s="3"/>
    </row>
    <row r="28" spans="1:22" x14ac:dyDescent="0.25">
      <c r="A28" s="4"/>
      <c r="B28" s="4"/>
      <c r="C28" s="4"/>
      <c r="D28" s="4"/>
      <c r="E28" s="4"/>
      <c r="F28" s="4"/>
      <c r="G28" s="5"/>
      <c r="H28" s="5"/>
      <c r="I28" s="4"/>
      <c r="J28" s="5"/>
      <c r="K28" s="5"/>
      <c r="L28" s="4"/>
      <c r="M28" s="4"/>
      <c r="N28" s="5"/>
      <c r="O28" s="4"/>
      <c r="P28" s="5"/>
      <c r="Q28" s="5"/>
      <c r="R28" s="5"/>
      <c r="S28" s="2">
        <f t="shared" si="0"/>
        <v>0</v>
      </c>
      <c r="T28" s="4" t="str">
        <f t="shared" si="2"/>
        <v/>
      </c>
      <c r="U28" s="4"/>
      <c r="V28" s="5"/>
    </row>
    <row r="29" spans="1:22" x14ac:dyDescent="0.25">
      <c r="A29" s="2"/>
      <c r="B29" s="2"/>
      <c r="C29" s="2"/>
      <c r="D29" s="2"/>
      <c r="E29" s="2"/>
      <c r="F29" s="2"/>
      <c r="G29" s="3"/>
      <c r="H29" s="3"/>
      <c r="I29" s="2"/>
      <c r="J29" s="3"/>
      <c r="K29" s="3"/>
      <c r="L29" s="2"/>
      <c r="M29" s="2"/>
      <c r="N29" s="3"/>
      <c r="O29" s="2"/>
      <c r="P29" s="3"/>
      <c r="Q29" s="3"/>
      <c r="R29" s="3"/>
      <c r="S29" s="2">
        <f t="shared" si="0"/>
        <v>0</v>
      </c>
      <c r="T29" s="2" t="str">
        <f t="shared" si="2"/>
        <v/>
      </c>
      <c r="U29" s="2"/>
      <c r="V29" s="3"/>
    </row>
    <row r="30" spans="1:22" x14ac:dyDescent="0.25">
      <c r="A30" s="4"/>
      <c r="B30" s="4"/>
      <c r="C30" s="4"/>
      <c r="D30" s="4"/>
      <c r="E30" s="4"/>
      <c r="F30" s="4"/>
      <c r="G30" s="5"/>
      <c r="H30" s="5"/>
      <c r="I30" s="4"/>
      <c r="J30" s="5"/>
      <c r="K30" s="5"/>
      <c r="L30" s="4"/>
      <c r="M30" s="4"/>
      <c r="N30" s="5"/>
      <c r="O30" s="4"/>
      <c r="P30" s="5"/>
      <c r="Q30" s="5"/>
      <c r="R30" s="5"/>
      <c r="S30" s="2">
        <f t="shared" si="0"/>
        <v>0</v>
      </c>
      <c r="T30" s="4" t="str">
        <f t="shared" si="2"/>
        <v/>
      </c>
      <c r="U30" s="4"/>
      <c r="V30" s="5"/>
    </row>
    <row r="31" spans="1:22" x14ac:dyDescent="0.25">
      <c r="A31" s="2"/>
      <c r="B31" s="2"/>
      <c r="C31" s="2"/>
      <c r="D31" s="2"/>
      <c r="E31" s="2"/>
      <c r="F31" s="2"/>
      <c r="G31" s="3"/>
      <c r="H31" s="3"/>
      <c r="I31" s="2"/>
      <c r="J31" s="3"/>
      <c r="K31" s="3"/>
      <c r="L31" s="2"/>
      <c r="M31" s="2"/>
      <c r="N31" s="3"/>
      <c r="O31" s="2"/>
      <c r="P31" s="3"/>
      <c r="Q31" s="3"/>
      <c r="R31" s="3"/>
      <c r="S31" s="2">
        <f t="shared" si="0"/>
        <v>0</v>
      </c>
      <c r="T31" s="2" t="str">
        <f t="shared" si="2"/>
        <v/>
      </c>
      <c r="U31" s="2"/>
      <c r="V31" s="3"/>
    </row>
    <row r="32" spans="1:22" x14ac:dyDescent="0.25">
      <c r="A32" s="4"/>
      <c r="B32" s="4"/>
      <c r="C32" s="4"/>
      <c r="D32" s="4"/>
      <c r="E32" s="4"/>
      <c r="F32" s="4"/>
      <c r="G32" s="5"/>
      <c r="H32" s="5"/>
      <c r="I32" s="4"/>
      <c r="J32" s="5"/>
      <c r="K32" s="5"/>
      <c r="L32" s="4"/>
      <c r="M32" s="4"/>
      <c r="N32" s="5"/>
      <c r="O32" s="4"/>
      <c r="P32" s="5"/>
      <c r="Q32" s="5"/>
      <c r="R32" s="5"/>
      <c r="S32" s="2">
        <f t="shared" si="0"/>
        <v>0</v>
      </c>
      <c r="T32" s="4" t="str">
        <f t="shared" si="2"/>
        <v/>
      </c>
      <c r="U32" s="4"/>
      <c r="V32" s="5"/>
    </row>
    <row r="33" spans="1:22" x14ac:dyDescent="0.25">
      <c r="A33" s="2"/>
      <c r="B33" s="2"/>
      <c r="C33" s="2"/>
      <c r="D33" s="2"/>
      <c r="E33" s="2"/>
      <c r="F33" s="2"/>
      <c r="G33" s="3"/>
      <c r="H33" s="3"/>
      <c r="I33" s="2"/>
      <c r="J33" s="3"/>
      <c r="K33" s="3"/>
      <c r="L33" s="2"/>
      <c r="M33" s="2"/>
      <c r="N33" s="3"/>
      <c r="O33" s="2"/>
      <c r="P33" s="3"/>
      <c r="Q33" s="3"/>
      <c r="R33" s="3"/>
      <c r="S33" s="2">
        <f t="shared" si="0"/>
        <v>0</v>
      </c>
      <c r="T33" s="2" t="str">
        <f t="shared" si="2"/>
        <v/>
      </c>
      <c r="U33" s="2"/>
      <c r="V33" s="3"/>
    </row>
    <row r="34" spans="1:22" x14ac:dyDescent="0.25">
      <c r="A34" s="4"/>
      <c r="B34" s="4"/>
      <c r="C34" s="4"/>
      <c r="D34" s="4"/>
      <c r="E34" s="4"/>
      <c r="F34" s="4"/>
      <c r="G34" s="5"/>
      <c r="H34" s="5"/>
      <c r="I34" s="4"/>
      <c r="J34" s="5"/>
      <c r="K34" s="5"/>
      <c r="L34" s="4"/>
      <c r="M34" s="4"/>
      <c r="N34" s="5"/>
      <c r="O34" s="4"/>
      <c r="P34" s="5"/>
      <c r="Q34" s="5"/>
      <c r="R34" s="5"/>
      <c r="S34" s="2">
        <f t="shared" si="0"/>
        <v>0</v>
      </c>
      <c r="T34" s="4" t="str">
        <f t="shared" si="2"/>
        <v/>
      </c>
      <c r="U34" s="4"/>
      <c r="V34" s="5"/>
    </row>
    <row r="35" spans="1:22" x14ac:dyDescent="0.25">
      <c r="A35" s="2"/>
      <c r="B35" s="2"/>
      <c r="C35" s="2"/>
      <c r="D35" s="2"/>
      <c r="E35" s="2"/>
      <c r="F35" s="2"/>
      <c r="G35" s="3"/>
      <c r="H35" s="3"/>
      <c r="I35" s="2"/>
      <c r="J35" s="3"/>
      <c r="K35" s="3"/>
      <c r="L35" s="2"/>
      <c r="M35" s="2"/>
      <c r="N35" s="3"/>
      <c r="O35" s="2"/>
      <c r="P35" s="3"/>
      <c r="Q35" s="3"/>
      <c r="R35" s="3"/>
      <c r="S35" s="2">
        <f t="shared" si="0"/>
        <v>0</v>
      </c>
      <c r="T35" s="2" t="str">
        <f t="shared" si="2"/>
        <v/>
      </c>
      <c r="U35" s="2"/>
      <c r="V35" s="3"/>
    </row>
    <row r="36" spans="1:22" x14ac:dyDescent="0.25">
      <c r="A36" s="4"/>
      <c r="B36" s="4"/>
      <c r="C36" s="4"/>
      <c r="D36" s="4"/>
      <c r="E36" s="4"/>
      <c r="F36" s="4"/>
      <c r="G36" s="5"/>
      <c r="H36" s="5"/>
      <c r="I36" s="4"/>
      <c r="J36" s="5"/>
      <c r="K36" s="5"/>
      <c r="L36" s="4"/>
      <c r="M36" s="4"/>
      <c r="N36" s="5"/>
      <c r="O36" s="4"/>
      <c r="P36" s="5"/>
      <c r="Q36" s="5"/>
      <c r="R36" s="5"/>
      <c r="S36" s="2">
        <f t="shared" si="0"/>
        <v>0</v>
      </c>
      <c r="T36" s="4" t="str">
        <f t="shared" si="2"/>
        <v/>
      </c>
      <c r="U36" s="4"/>
      <c r="V36" s="5"/>
    </row>
    <row r="37" spans="1:22" x14ac:dyDescent="0.25">
      <c r="A37" s="2"/>
      <c r="B37" s="2"/>
      <c r="C37" s="2"/>
      <c r="D37" s="2"/>
      <c r="E37" s="2"/>
      <c r="F37" s="2"/>
      <c r="G37" s="3"/>
      <c r="H37" s="3"/>
      <c r="I37" s="2"/>
      <c r="J37" s="3"/>
      <c r="K37" s="3"/>
      <c r="L37" s="2"/>
      <c r="M37" s="2"/>
      <c r="N37" s="3"/>
      <c r="O37" s="2"/>
      <c r="P37" s="3"/>
      <c r="Q37" s="3"/>
      <c r="R37" s="3"/>
      <c r="S37" s="2">
        <f t="shared" si="0"/>
        <v>0</v>
      </c>
      <c r="T37" s="2" t="str">
        <f t="shared" si="2"/>
        <v/>
      </c>
      <c r="U37" s="2"/>
      <c r="V37" s="3"/>
    </row>
    <row r="38" spans="1:22" x14ac:dyDescent="0.25">
      <c r="A38" s="4"/>
      <c r="B38" s="4"/>
      <c r="C38" s="4"/>
      <c r="D38" s="4"/>
      <c r="E38" s="4"/>
      <c r="F38" s="4"/>
      <c r="G38" s="5"/>
      <c r="H38" s="5"/>
      <c r="I38" s="4"/>
      <c r="J38" s="5"/>
      <c r="K38" s="5"/>
      <c r="L38" s="4"/>
      <c r="M38" s="4"/>
      <c r="N38" s="5"/>
      <c r="O38" s="4"/>
      <c r="P38" s="5"/>
      <c r="Q38" s="5"/>
      <c r="R38" s="5"/>
      <c r="S38" s="2">
        <f t="shared" si="0"/>
        <v>0</v>
      </c>
      <c r="T38" s="4" t="str">
        <f t="shared" si="2"/>
        <v/>
      </c>
      <c r="U38" s="4"/>
      <c r="V38" s="5"/>
    </row>
    <row r="39" spans="1:22" x14ac:dyDescent="0.25">
      <c r="A39" s="2"/>
      <c r="B39" s="2"/>
      <c r="C39" s="2"/>
      <c r="D39" s="2"/>
      <c r="E39" s="2"/>
      <c r="F39" s="2"/>
      <c r="G39" s="3"/>
      <c r="H39" s="3"/>
      <c r="I39" s="2"/>
      <c r="J39" s="3"/>
      <c r="K39" s="3"/>
      <c r="L39" s="2"/>
      <c r="M39" s="2"/>
      <c r="N39" s="3"/>
      <c r="O39" s="2"/>
      <c r="P39" s="3"/>
      <c r="Q39" s="3"/>
      <c r="R39" s="3"/>
      <c r="S39" s="2">
        <f t="shared" si="0"/>
        <v>0</v>
      </c>
      <c r="T39" s="2" t="str">
        <f t="shared" si="2"/>
        <v/>
      </c>
      <c r="U39" s="2"/>
      <c r="V39" s="3"/>
    </row>
    <row r="40" spans="1:22" x14ac:dyDescent="0.25">
      <c r="A40" s="4"/>
      <c r="B40" s="4"/>
      <c r="C40" s="4"/>
      <c r="D40" s="4"/>
      <c r="E40" s="4"/>
      <c r="F40" s="4"/>
      <c r="G40" s="5"/>
      <c r="H40" s="5"/>
      <c r="I40" s="4"/>
      <c r="J40" s="5"/>
      <c r="K40" s="5"/>
      <c r="L40" s="4"/>
      <c r="M40" s="4"/>
      <c r="N40" s="5"/>
      <c r="O40" s="4"/>
      <c r="P40" s="5"/>
      <c r="Q40" s="5"/>
      <c r="R40" s="5"/>
      <c r="S40" s="2">
        <f t="shared" si="0"/>
        <v>0</v>
      </c>
      <c r="T40" s="4" t="str">
        <f t="shared" si="2"/>
        <v/>
      </c>
      <c r="U40" s="4"/>
      <c r="V40" s="5"/>
    </row>
    <row r="41" spans="1:22" x14ac:dyDescent="0.25">
      <c r="A41" s="2"/>
      <c r="B41" s="2"/>
      <c r="C41" s="2"/>
      <c r="D41" s="2"/>
      <c r="E41" s="2"/>
      <c r="F41" s="2"/>
      <c r="G41" s="3"/>
      <c r="H41" s="3"/>
      <c r="I41" s="2"/>
      <c r="J41" s="3"/>
      <c r="K41" s="3"/>
      <c r="L41" s="2"/>
      <c r="M41" s="2"/>
      <c r="N41" s="3"/>
      <c r="O41" s="2"/>
      <c r="P41" s="3"/>
      <c r="Q41" s="3"/>
      <c r="R41" s="3"/>
      <c r="S41" s="2">
        <f t="shared" si="0"/>
        <v>0</v>
      </c>
      <c r="T41" s="2" t="str">
        <f t="shared" si="2"/>
        <v/>
      </c>
      <c r="U41" s="2"/>
      <c r="V41" s="3"/>
    </row>
    <row r="42" spans="1:22" x14ac:dyDescent="0.25">
      <c r="A42" s="4"/>
      <c r="B42" s="4"/>
      <c r="C42" s="4"/>
      <c r="D42" s="4"/>
      <c r="E42" s="4"/>
      <c r="F42" s="4"/>
      <c r="G42" s="5"/>
      <c r="H42" s="5"/>
      <c r="I42" s="4"/>
      <c r="J42" s="5"/>
      <c r="K42" s="5"/>
      <c r="L42" s="4"/>
      <c r="M42" s="4"/>
      <c r="N42" s="5"/>
      <c r="O42" s="4"/>
      <c r="P42" s="5"/>
      <c r="Q42" s="5"/>
      <c r="R42" s="5"/>
      <c r="S42" s="2">
        <f t="shared" si="0"/>
        <v>0</v>
      </c>
      <c r="T42" s="4" t="str">
        <f t="shared" si="2"/>
        <v/>
      </c>
      <c r="U42" s="4"/>
      <c r="V42" s="5"/>
    </row>
    <row r="43" spans="1:22" x14ac:dyDescent="0.25">
      <c r="A43" s="2"/>
      <c r="B43" s="2"/>
      <c r="C43" s="2"/>
      <c r="D43" s="2"/>
      <c r="E43" s="2"/>
      <c r="F43" s="2"/>
      <c r="G43" s="3"/>
      <c r="H43" s="3"/>
      <c r="I43" s="2"/>
      <c r="J43" s="3"/>
      <c r="K43" s="3"/>
      <c r="L43" s="2"/>
      <c r="M43" s="2"/>
      <c r="N43" s="3"/>
      <c r="O43" s="2"/>
      <c r="P43" s="3"/>
      <c r="Q43" s="3"/>
      <c r="R43" s="3"/>
      <c r="S43" s="2">
        <f t="shared" si="0"/>
        <v>0</v>
      </c>
      <c r="T43" s="2" t="str">
        <f t="shared" si="2"/>
        <v/>
      </c>
      <c r="U43" s="2"/>
      <c r="V43" s="3"/>
    </row>
    <row r="44" spans="1:22" x14ac:dyDescent="0.25">
      <c r="A44" s="4"/>
      <c r="B44" s="4"/>
      <c r="C44" s="4"/>
      <c r="D44" s="4"/>
      <c r="E44" s="4"/>
      <c r="F44" s="4"/>
      <c r="G44" s="5"/>
      <c r="H44" s="5"/>
      <c r="I44" s="4"/>
      <c r="J44" s="5"/>
      <c r="K44" s="5"/>
      <c r="L44" s="4"/>
      <c r="M44" s="4"/>
      <c r="N44" s="5"/>
      <c r="O44" s="4"/>
      <c r="P44" s="5"/>
      <c r="Q44" s="5"/>
      <c r="R44" s="5"/>
      <c r="S44" s="2">
        <f t="shared" si="0"/>
        <v>0</v>
      </c>
      <c r="T44" s="4" t="str">
        <f t="shared" si="2"/>
        <v/>
      </c>
      <c r="U44" s="4"/>
      <c r="V44" s="5"/>
    </row>
    <row r="45" spans="1:22" x14ac:dyDescent="0.25">
      <c r="A45" s="2"/>
      <c r="B45" s="2"/>
      <c r="C45" s="2"/>
      <c r="D45" s="2"/>
      <c r="E45" s="2"/>
      <c r="F45" s="2"/>
      <c r="G45" s="3"/>
      <c r="H45" s="3"/>
      <c r="I45" s="2"/>
      <c r="J45" s="3"/>
      <c r="K45" s="3"/>
      <c r="L45" s="2"/>
      <c r="M45" s="2"/>
      <c r="N45" s="3"/>
      <c r="O45" s="2"/>
      <c r="P45" s="3"/>
      <c r="Q45" s="3"/>
      <c r="R45" s="3"/>
      <c r="S45" s="2">
        <f t="shared" si="0"/>
        <v>0</v>
      </c>
      <c r="T45" s="2" t="str">
        <f t="shared" si="2"/>
        <v/>
      </c>
      <c r="U45" s="2"/>
      <c r="V45" s="3"/>
    </row>
    <row r="46" spans="1:22" x14ac:dyDescent="0.25">
      <c r="A46" s="4"/>
      <c r="B46" s="4"/>
      <c r="C46" s="4"/>
      <c r="D46" s="4"/>
      <c r="E46" s="4"/>
      <c r="F46" s="4"/>
      <c r="G46" s="5"/>
      <c r="H46" s="5"/>
      <c r="I46" s="4"/>
      <c r="J46" s="5"/>
      <c r="K46" s="5"/>
      <c r="L46" s="4"/>
      <c r="M46" s="4"/>
      <c r="N46" s="5"/>
      <c r="O46" s="4"/>
      <c r="P46" s="5"/>
      <c r="Q46" s="5"/>
      <c r="R46" s="5"/>
      <c r="S46" s="2">
        <f t="shared" si="0"/>
        <v>0</v>
      </c>
      <c r="T46" s="4" t="str">
        <f t="shared" si="2"/>
        <v/>
      </c>
      <c r="U46" s="4"/>
      <c r="V46" s="5"/>
    </row>
    <row r="47" spans="1:22" x14ac:dyDescent="0.25">
      <c r="A47" s="2"/>
      <c r="B47" s="2"/>
      <c r="C47" s="2"/>
      <c r="D47" s="2"/>
      <c r="E47" s="2"/>
      <c r="F47" s="2"/>
      <c r="G47" s="3"/>
      <c r="H47" s="3"/>
      <c r="I47" s="2"/>
      <c r="J47" s="3"/>
      <c r="K47" s="3"/>
      <c r="L47" s="2"/>
      <c r="M47" s="2"/>
      <c r="N47" s="3"/>
      <c r="O47" s="2"/>
      <c r="P47" s="3"/>
      <c r="Q47" s="3"/>
      <c r="R47" s="3"/>
      <c r="S47" s="2">
        <f t="shared" si="0"/>
        <v>0</v>
      </c>
      <c r="T47" s="2" t="str">
        <f t="shared" si="2"/>
        <v/>
      </c>
      <c r="U47" s="2"/>
      <c r="V47" s="3"/>
    </row>
    <row r="48" spans="1:22" x14ac:dyDescent="0.25">
      <c r="A48" s="4"/>
      <c r="B48" s="4"/>
      <c r="C48" s="4"/>
      <c r="D48" s="4"/>
      <c r="E48" s="4"/>
      <c r="F48" s="4"/>
      <c r="G48" s="5"/>
      <c r="H48" s="5"/>
      <c r="I48" s="4"/>
      <c r="J48" s="5"/>
      <c r="K48" s="5"/>
      <c r="L48" s="4"/>
      <c r="M48" s="4"/>
      <c r="N48" s="5"/>
      <c r="O48" s="4"/>
      <c r="P48" s="5"/>
      <c r="Q48" s="5"/>
      <c r="R48" s="5"/>
      <c r="S48" s="2">
        <f t="shared" si="0"/>
        <v>0</v>
      </c>
      <c r="T48" s="4" t="str">
        <f t="shared" si="2"/>
        <v/>
      </c>
      <c r="U48" s="4"/>
      <c r="V48" s="5"/>
    </row>
    <row r="49" spans="1:22" x14ac:dyDescent="0.25">
      <c r="A49" s="2"/>
      <c r="B49" s="2"/>
      <c r="C49" s="2"/>
      <c r="D49" s="2"/>
      <c r="E49" s="2"/>
      <c r="F49" s="2"/>
      <c r="G49" s="3"/>
      <c r="H49" s="3"/>
      <c r="I49" s="2"/>
      <c r="J49" s="3"/>
      <c r="K49" s="3"/>
      <c r="L49" s="2"/>
      <c r="M49" s="2"/>
      <c r="N49" s="3"/>
      <c r="O49" s="2"/>
      <c r="P49" s="3"/>
      <c r="Q49" s="3"/>
      <c r="R49" s="3"/>
      <c r="S49" s="2">
        <f t="shared" si="0"/>
        <v>0</v>
      </c>
      <c r="T49" s="2" t="str">
        <f t="shared" si="2"/>
        <v/>
      </c>
      <c r="U49" s="2"/>
      <c r="V49" s="3"/>
    </row>
    <row r="50" spans="1:22" x14ac:dyDescent="0.25">
      <c r="A50" s="4"/>
      <c r="B50" s="4"/>
      <c r="C50" s="4"/>
      <c r="D50" s="4"/>
      <c r="E50" s="4"/>
      <c r="F50" s="4"/>
      <c r="G50" s="5"/>
      <c r="H50" s="5"/>
      <c r="I50" s="4"/>
      <c r="J50" s="5"/>
      <c r="K50" s="5"/>
      <c r="L50" s="4"/>
      <c r="M50" s="4"/>
      <c r="N50" s="5"/>
      <c r="O50" s="4"/>
      <c r="P50" s="5"/>
      <c r="Q50" s="5"/>
      <c r="R50" s="5"/>
      <c r="S50" s="2">
        <f t="shared" si="0"/>
        <v>0</v>
      </c>
      <c r="T50" s="4" t="str">
        <f t="shared" si="2"/>
        <v/>
      </c>
      <c r="U50" s="4"/>
      <c r="V50" s="5"/>
    </row>
    <row r="51" spans="1:22" x14ac:dyDescent="0.25">
      <c r="A51" s="2"/>
      <c r="B51" s="2"/>
      <c r="C51" s="2"/>
      <c r="D51" s="2"/>
      <c r="E51" s="2"/>
      <c r="F51" s="2"/>
      <c r="G51" s="3"/>
      <c r="H51" s="3"/>
      <c r="I51" s="2"/>
      <c r="J51" s="3"/>
      <c r="K51" s="3"/>
      <c r="L51" s="2"/>
      <c r="M51" s="2"/>
      <c r="N51" s="3"/>
      <c r="O51" s="2"/>
      <c r="P51" s="3"/>
      <c r="Q51" s="3"/>
      <c r="R51" s="3"/>
      <c r="S51" s="2">
        <f t="shared" si="0"/>
        <v>0</v>
      </c>
      <c r="T51" s="2" t="str">
        <f t="shared" si="2"/>
        <v/>
      </c>
      <c r="U51" s="2"/>
      <c r="V51" s="3"/>
    </row>
    <row r="52" spans="1:22" x14ac:dyDescent="0.25">
      <c r="A52" s="4"/>
      <c r="B52" s="4"/>
      <c r="C52" s="4"/>
      <c r="D52" s="4"/>
      <c r="E52" s="4"/>
      <c r="F52" s="4"/>
      <c r="G52" s="5"/>
      <c r="H52" s="5"/>
      <c r="I52" s="4"/>
      <c r="J52" s="5"/>
      <c r="K52" s="5"/>
      <c r="L52" s="4"/>
      <c r="M52" s="4"/>
      <c r="N52" s="5"/>
      <c r="O52" s="4"/>
      <c r="P52" s="5"/>
      <c r="Q52" s="5"/>
      <c r="R52" s="5"/>
      <c r="S52" s="2">
        <f t="shared" si="0"/>
        <v>0</v>
      </c>
      <c r="T52" s="4" t="str">
        <f t="shared" si="2"/>
        <v/>
      </c>
      <c r="U52" s="4"/>
      <c r="V52" s="5"/>
    </row>
    <row r="53" spans="1:22" x14ac:dyDescent="0.25">
      <c r="A53" s="2"/>
      <c r="B53" s="2"/>
      <c r="C53" s="2"/>
      <c r="D53" s="2"/>
      <c r="E53" s="2"/>
      <c r="F53" s="2"/>
      <c r="G53" s="3"/>
      <c r="H53" s="3"/>
      <c r="I53" s="2"/>
      <c r="J53" s="3"/>
      <c r="K53" s="3"/>
      <c r="L53" s="2"/>
      <c r="M53" s="2"/>
      <c r="N53" s="3"/>
      <c r="O53" s="2"/>
      <c r="P53" s="3"/>
      <c r="Q53" s="3"/>
      <c r="R53" s="3"/>
      <c r="S53" s="2">
        <f t="shared" si="0"/>
        <v>0</v>
      </c>
      <c r="T53" s="2" t="str">
        <f t="shared" si="2"/>
        <v/>
      </c>
      <c r="U53" s="2"/>
      <c r="V53" s="3"/>
    </row>
    <row r="54" spans="1:22" x14ac:dyDescent="0.25">
      <c r="A54" s="4"/>
      <c r="B54" s="4"/>
      <c r="C54" s="4"/>
      <c r="D54" s="4"/>
      <c r="E54" s="4"/>
      <c r="F54" s="4"/>
      <c r="G54" s="5"/>
      <c r="H54" s="5"/>
      <c r="I54" s="4"/>
      <c r="J54" s="5"/>
      <c r="K54" s="5"/>
      <c r="L54" s="4"/>
      <c r="M54" s="4"/>
      <c r="N54" s="5"/>
      <c r="O54" s="4"/>
      <c r="P54" s="5"/>
      <c r="Q54" s="5"/>
      <c r="R54" s="5"/>
      <c r="S54" s="2">
        <f t="shared" si="0"/>
        <v>0</v>
      </c>
      <c r="T54" s="4" t="str">
        <f t="shared" si="2"/>
        <v/>
      </c>
      <c r="U54" s="4"/>
      <c r="V54" s="5"/>
    </row>
  </sheetData>
  <mergeCells count="8">
    <mergeCell ref="A1:V1"/>
    <mergeCell ref="A2:V2"/>
    <mergeCell ref="A3:F3"/>
    <mergeCell ref="G3:I3"/>
    <mergeCell ref="J3:L3"/>
    <mergeCell ref="M3:O3"/>
    <mergeCell ref="P3:R3"/>
    <mergeCell ref="S3:V3"/>
  </mergeCells>
  <conditionalFormatting sqref="T5:T54">
    <cfRule type="cellIs" dxfId="4" priority="2" operator="equal">
      <formula>"SÍ"</formula>
    </cfRule>
    <cfRule type="cellIs" dxfId="3" priority="3" operator="equal">
      <formula>"NO"</formula>
    </cfRule>
  </conditionalFormatting>
  <conditionalFormatting sqref="O5:O54">
    <cfRule type="cellIs" dxfId="2" priority="4" operator="equal">
      <formula>"Cerrado"</formula>
    </cfRule>
    <cfRule type="cellIs" dxfId="1" priority="5" operator="equal">
      <formula>"En Proceso"</formula>
    </cfRule>
    <cfRule type="cellIs" dxfId="0" priority="6" operator="equal">
      <formula>"Abierto"</formula>
    </cfRule>
  </conditionalFormatting>
  <dataValidations count="6">
    <dataValidation type="list" allowBlank="1" sqref="J5:J54">
      <formula1>"Soporte Técnico,Nueva Implementación,Consulta Simple,Otro"</formula1>
      <formula2>0</formula2>
    </dataValidation>
    <dataValidation type="list" allowBlank="1" sqref="L5:L54">
      <formula1>"Alta,Media,Baja"</formula1>
      <formula2>0</formula2>
    </dataValidation>
    <dataValidation type="list" allowBlank="1" sqref="M5:M54">
      <formula1>"Soporte Técnico,Ventas,Ambas"</formula1>
      <formula2>0</formula2>
    </dataValidation>
    <dataValidation type="list" allowBlank="1" sqref="O5:O54">
      <formula1>"Abierto,En Proceso,Cerrado,Cancelado"</formula1>
      <formula2>0</formula2>
    </dataValidation>
    <dataValidation type="list" allowBlank="1" sqref="T5:T54">
      <formula1>"SÍ,NO"</formula1>
      <formula2>0</formula2>
    </dataValidation>
    <dataValidation type="list" allowBlank="1" sqref="U5:U54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E8" evalErro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'📖 Instrucciones'!$D$4:$D$12</xm:f>
          </x14:formula1>
          <xm:sqref>D5:D17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sqref="A1:K1"/>
    </sheetView>
  </sheetViews>
  <sheetFormatPr baseColWidth="10" defaultColWidth="8.7109375" defaultRowHeight="15" x14ac:dyDescent="0.25"/>
  <cols>
    <col min="2" max="2" width="40" customWidth="1"/>
    <col min="3" max="3" width="16" customWidth="1"/>
    <col min="4" max="4" width="12" customWidth="1"/>
    <col min="5" max="10" width="14" customWidth="1"/>
  </cols>
  <sheetData>
    <row r="1" spans="1:11" ht="33.75" customHeight="1" x14ac:dyDescent="0.25">
      <c r="A1" s="23" t="s">
        <v>160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 customHeight="1" x14ac:dyDescent="0.25">
      <c r="A2" s="14" t="s">
        <v>81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27.75" customHeight="1" x14ac:dyDescent="0.25">
      <c r="B4" s="17" t="s">
        <v>82</v>
      </c>
      <c r="C4" s="17"/>
      <c r="D4" s="17"/>
      <c r="E4" s="17"/>
      <c r="F4" s="17"/>
      <c r="G4" s="17"/>
      <c r="H4" s="17"/>
      <c r="I4" s="17"/>
      <c r="J4" s="17"/>
    </row>
    <row r="5" spans="1:11" ht="27.75" customHeight="1" x14ac:dyDescent="0.25">
      <c r="B5" s="18">
        <f>IFERROR(COUNTIF('📋 Registro de Requerimientos'!T5:T54,"SÍ")/COUNTIF('📋 Registro de Requerimientos'!O5:O54,"Cerrado")*100,0)</f>
        <v>100</v>
      </c>
      <c r="C5" s="18"/>
      <c r="D5" s="18"/>
      <c r="E5" s="19" t="s">
        <v>83</v>
      </c>
      <c r="F5" s="19"/>
      <c r="G5" s="19"/>
      <c r="H5" s="20" t="s">
        <v>84</v>
      </c>
      <c r="I5" s="20"/>
      <c r="J5" s="20"/>
    </row>
    <row r="6" spans="1:11" ht="27.75" customHeight="1" x14ac:dyDescent="0.25">
      <c r="B6" s="18"/>
      <c r="C6" s="18"/>
      <c r="D6" s="18"/>
      <c r="E6" s="19"/>
      <c r="F6" s="19"/>
      <c r="G6" s="19"/>
      <c r="H6" s="20"/>
      <c r="I6" s="20"/>
      <c r="J6" s="20"/>
    </row>
    <row r="7" spans="1:11" ht="27.75" customHeight="1" x14ac:dyDescent="0.25">
      <c r="B7" s="18"/>
      <c r="C7" s="18"/>
      <c r="D7" s="18"/>
      <c r="E7" s="21" t="str">
        <f>IF(B5&gt;=90,"# Cumple","🔴 Por debajo")</f>
        <v># Cumple</v>
      </c>
      <c r="F7" s="21"/>
      <c r="G7" s="21"/>
      <c r="H7" s="20"/>
      <c r="I7" s="20"/>
      <c r="J7" s="20"/>
    </row>
    <row r="11" spans="1:11" ht="27.75" customHeight="1" x14ac:dyDescent="0.25">
      <c r="B11" s="17" t="s">
        <v>85</v>
      </c>
      <c r="C11" s="17"/>
      <c r="D11" s="17"/>
      <c r="E11" s="17"/>
      <c r="F11" s="17"/>
      <c r="G11" s="17"/>
      <c r="H11" s="17"/>
      <c r="I11" s="17"/>
      <c r="J11" s="17"/>
    </row>
    <row r="12" spans="1:11" ht="27.75" customHeight="1" x14ac:dyDescent="0.25">
      <c r="B12" s="22">
        <f>IFERROR(AVERAGEIF('📋 Registro de Requerimientos'!J5:J54,"&lt;&gt;Consulta Simple",'📋 Registro de Requerimientos'!R5:R54),0)</f>
        <v>11.106805555556566</v>
      </c>
      <c r="C12" s="22"/>
      <c r="D12" s="22"/>
      <c r="E12" s="19" t="s">
        <v>86</v>
      </c>
      <c r="F12" s="19"/>
      <c r="G12" s="19"/>
      <c r="H12" s="20" t="s">
        <v>87</v>
      </c>
      <c r="I12" s="20"/>
      <c r="J12" s="20"/>
    </row>
    <row r="13" spans="1:11" ht="27.75" customHeight="1" x14ac:dyDescent="0.25">
      <c r="B13" s="22"/>
      <c r="C13" s="22"/>
      <c r="D13" s="22"/>
      <c r="E13" s="19"/>
      <c r="F13" s="19"/>
      <c r="G13" s="19"/>
      <c r="H13" s="20"/>
      <c r="I13" s="20"/>
      <c r="J13" s="20"/>
    </row>
    <row r="14" spans="1:11" ht="27.75" customHeight="1" x14ac:dyDescent="0.25">
      <c r="B14" s="22"/>
      <c r="C14" s="22"/>
      <c r="D14" s="22"/>
      <c r="E14" s="21" t="str">
        <f>IF(B12&lt;=0.5,"🟢 Cumple","🔴 Por debajo")</f>
        <v>🔴 Por debajo</v>
      </c>
      <c r="F14" s="21"/>
      <c r="G14" s="21"/>
      <c r="H14" s="20"/>
      <c r="I14" s="20"/>
      <c r="J14" s="20"/>
    </row>
    <row r="18" spans="2:10" ht="27.75" customHeight="1" x14ac:dyDescent="0.25">
      <c r="B18" s="17" t="s">
        <v>88</v>
      </c>
      <c r="C18" s="17"/>
      <c r="D18" s="17"/>
      <c r="E18" s="17"/>
      <c r="F18" s="17"/>
      <c r="G18" s="17"/>
      <c r="H18" s="17"/>
      <c r="I18" s="17"/>
      <c r="J18" s="17"/>
    </row>
    <row r="19" spans="2:10" ht="27.75" customHeight="1" x14ac:dyDescent="0.25">
      <c r="B19" s="18">
        <f>IFERROR(COUNTIFS('📋 Registro de Requerimientos'!J5:J54,"Nueva Implementación",'📋 Registro de Requerimientos'!O5:O54,"Cerrado")/COUNTIF('📋 Registro de Requerimientos'!J5:J54,"Nueva Implementación")*100,0)</f>
        <v>50</v>
      </c>
      <c r="C19" s="18"/>
      <c r="D19" s="18"/>
      <c r="E19" s="19" t="s">
        <v>89</v>
      </c>
      <c r="F19" s="19"/>
      <c r="G19" s="19"/>
      <c r="H19" s="20" t="s">
        <v>90</v>
      </c>
      <c r="I19" s="20"/>
      <c r="J19" s="20"/>
    </row>
    <row r="20" spans="2:10" ht="27.75" customHeight="1" x14ac:dyDescent="0.25">
      <c r="B20" s="18"/>
      <c r="C20" s="18"/>
      <c r="D20" s="18"/>
      <c r="E20" s="19"/>
      <c r="F20" s="19"/>
      <c r="G20" s="19"/>
      <c r="H20" s="20"/>
      <c r="I20" s="20"/>
      <c r="J20" s="20"/>
    </row>
    <row r="21" spans="2:10" ht="27.75" customHeight="1" x14ac:dyDescent="0.25">
      <c r="B21" s="18"/>
      <c r="C21" s="18"/>
      <c r="D21" s="18"/>
      <c r="E21" s="21" t="str">
        <f>IF(B19&gt;=60,"🟢 Cumple","🔴 Por debajo")</f>
        <v>🔴 Por debajo</v>
      </c>
      <c r="F21" s="21"/>
      <c r="G21" s="21"/>
      <c r="H21" s="20"/>
      <c r="I21" s="20"/>
      <c r="J21" s="20"/>
    </row>
    <row r="26" spans="2:10" ht="24" customHeight="1" x14ac:dyDescent="0.25">
      <c r="B26" s="16" t="s">
        <v>91</v>
      </c>
      <c r="C26" s="16"/>
      <c r="D26" s="16"/>
      <c r="E26" s="16"/>
      <c r="F26" s="16"/>
      <c r="G26" s="16"/>
      <c r="H26" s="16"/>
      <c r="I26" s="16"/>
      <c r="J26" s="16"/>
    </row>
    <row r="27" spans="2:10" x14ac:dyDescent="0.25">
      <c r="B27" s="6" t="s">
        <v>92</v>
      </c>
      <c r="C27" s="6" t="s">
        <v>93</v>
      </c>
      <c r="D27" s="6" t="s">
        <v>94</v>
      </c>
    </row>
    <row r="28" spans="2:10" ht="30" customHeight="1" x14ac:dyDescent="0.25">
      <c r="B28" s="5" t="s">
        <v>95</v>
      </c>
      <c r="C28" s="7">
        <f>COUNTA('📋 Registro de Requerimientos'!A5:A54)</f>
        <v>5</v>
      </c>
      <c r="D28" s="8" t="s">
        <v>96</v>
      </c>
    </row>
    <row r="29" spans="2:10" ht="30.75" customHeight="1" x14ac:dyDescent="0.25">
      <c r="B29" s="3" t="s">
        <v>97</v>
      </c>
      <c r="C29" s="9">
        <f>COUNTIF('📋 Registro de Requerimientos'!O5:O54,"Cerrado")</f>
        <v>4</v>
      </c>
      <c r="D29" s="10" t="s">
        <v>98</v>
      </c>
    </row>
    <row r="30" spans="2:10" ht="28.5" customHeight="1" x14ac:dyDescent="0.25">
      <c r="B30" s="5" t="s">
        <v>99</v>
      </c>
      <c r="C30" s="7">
        <f>COUNTIF('📋 Registro de Requerimientos'!O5:O54,"En Proceso")</f>
        <v>1</v>
      </c>
      <c r="D30" s="8" t="s">
        <v>100</v>
      </c>
    </row>
    <row r="31" spans="2:10" ht="30.75" customHeight="1" x14ac:dyDescent="0.25">
      <c r="B31" s="3" t="s">
        <v>101</v>
      </c>
      <c r="C31" s="9">
        <f>COUNTIF('📋 Registro de Requerimientos'!O5:O54,"Abierto")</f>
        <v>0</v>
      </c>
      <c r="D31" s="10" t="s">
        <v>102</v>
      </c>
    </row>
    <row r="32" spans="2:10" ht="19.5" customHeight="1" x14ac:dyDescent="0.25">
      <c r="B32" s="5" t="s">
        <v>103</v>
      </c>
      <c r="C32" s="7">
        <f>COUNTIF('📋 Registro de Requerimientos'!J5:J54,"Soporte Técnico")</f>
        <v>3</v>
      </c>
      <c r="D32" s="8" t="s">
        <v>104</v>
      </c>
    </row>
    <row r="33" spans="2:4" ht="24.75" customHeight="1" x14ac:dyDescent="0.25">
      <c r="B33" s="3" t="s">
        <v>105</v>
      </c>
      <c r="C33" s="9">
        <f>COUNTIF('📋 Registro de Requerimientos'!J5:J54,"Nueva Implementación")</f>
        <v>2</v>
      </c>
      <c r="D33" s="10" t="s">
        <v>104</v>
      </c>
    </row>
    <row r="34" spans="2:4" ht="27.75" customHeight="1" x14ac:dyDescent="0.25">
      <c r="B34" s="5" t="s">
        <v>106</v>
      </c>
      <c r="C34" s="7">
        <f>COUNTIF('📋 Registro de Requerimientos'!U5:U54,"Sí")</f>
        <v>2</v>
      </c>
      <c r="D34" s="8" t="s">
        <v>107</v>
      </c>
    </row>
    <row r="35" spans="2:4" ht="19.5" customHeight="1" x14ac:dyDescent="0.25">
      <c r="B35" s="3" t="s">
        <v>108</v>
      </c>
      <c r="C35" s="9">
        <f>COUNTIF('📋 Registro de Requerimientos'!T5:T54,"NO")</f>
        <v>0</v>
      </c>
      <c r="D35" s="10" t="s">
        <v>109</v>
      </c>
    </row>
  </sheetData>
  <mergeCells count="18">
    <mergeCell ref="A1:K1"/>
    <mergeCell ref="A2:K2"/>
    <mergeCell ref="B4:J4"/>
    <mergeCell ref="B5:D7"/>
    <mergeCell ref="E5:G6"/>
    <mergeCell ref="H5:J7"/>
    <mergeCell ref="E7:G7"/>
    <mergeCell ref="B11:J11"/>
    <mergeCell ref="B12:D14"/>
    <mergeCell ref="E12:G13"/>
    <mergeCell ref="H12:J14"/>
    <mergeCell ref="E14:G14"/>
    <mergeCell ref="B26:J26"/>
    <mergeCell ref="B18:J18"/>
    <mergeCell ref="B19:D21"/>
    <mergeCell ref="E19:G20"/>
    <mergeCell ref="H19:J21"/>
    <mergeCell ref="E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C1" zoomScaleNormal="100" workbookViewId="0">
      <selection activeCell="E12" sqref="E12"/>
    </sheetView>
  </sheetViews>
  <sheetFormatPr baseColWidth="10" defaultColWidth="8.7109375" defaultRowHeight="15" x14ac:dyDescent="0.25"/>
  <cols>
    <col min="1" max="1" width="32" customWidth="1"/>
    <col min="2" max="2" width="72" customWidth="1"/>
    <col min="4" max="4" width="14" bestFit="1" customWidth="1"/>
    <col min="5" max="5" width="53.85546875" customWidth="1"/>
    <col min="6" max="6" width="23.42578125" bestFit="1" customWidth="1"/>
  </cols>
  <sheetData>
    <row r="1" spans="1:6" ht="31.5" customHeight="1" x14ac:dyDescent="0.25">
      <c r="A1" s="13" t="s">
        <v>110</v>
      </c>
      <c r="B1" s="13"/>
      <c r="C1" s="13"/>
      <c r="D1" s="13"/>
      <c r="E1" s="13"/>
      <c r="F1" s="13"/>
    </row>
    <row r="2" spans="1:6" ht="18" customHeight="1" thickBot="1" x14ac:dyDescent="0.3">
      <c r="A2" s="11"/>
      <c r="B2" s="3"/>
    </row>
    <row r="3" spans="1:6" ht="18" customHeight="1" thickBot="1" x14ac:dyDescent="0.3">
      <c r="A3" s="12" t="s">
        <v>111</v>
      </c>
      <c r="B3" s="12"/>
      <c r="D3" s="24" t="s">
        <v>162</v>
      </c>
      <c r="E3" s="24" t="s">
        <v>164</v>
      </c>
      <c r="F3" s="24" t="s">
        <v>183</v>
      </c>
    </row>
    <row r="4" spans="1:6" ht="18" customHeight="1" thickBot="1" x14ac:dyDescent="0.3">
      <c r="A4" s="11" t="s">
        <v>112</v>
      </c>
      <c r="B4" s="3" t="s">
        <v>113</v>
      </c>
      <c r="D4" s="25" t="s">
        <v>165</v>
      </c>
      <c r="E4" s="26" t="s">
        <v>166</v>
      </c>
      <c r="F4" s="25">
        <v>24</v>
      </c>
    </row>
    <row r="5" spans="1:6" ht="18" customHeight="1" thickBot="1" x14ac:dyDescent="0.3">
      <c r="A5" s="11" t="s">
        <v>114</v>
      </c>
      <c r="B5" s="3" t="s">
        <v>115</v>
      </c>
      <c r="D5" s="27" t="s">
        <v>167</v>
      </c>
      <c r="E5" s="28" t="s">
        <v>168</v>
      </c>
      <c r="F5" s="27">
        <v>24</v>
      </c>
    </row>
    <row r="6" spans="1:6" ht="27.75" customHeight="1" thickBot="1" x14ac:dyDescent="0.3">
      <c r="A6" s="11" t="s">
        <v>116</v>
      </c>
      <c r="B6" s="3" t="s">
        <v>117</v>
      </c>
      <c r="D6" s="25" t="s">
        <v>169</v>
      </c>
      <c r="E6" s="26" t="s">
        <v>170</v>
      </c>
      <c r="F6" s="25">
        <v>48</v>
      </c>
    </row>
    <row r="7" spans="1:6" ht="30" customHeight="1" thickBot="1" x14ac:dyDescent="0.3">
      <c r="A7" s="11" t="s">
        <v>118</v>
      </c>
      <c r="B7" s="3" t="s">
        <v>163</v>
      </c>
      <c r="D7" s="27" t="s">
        <v>171</v>
      </c>
      <c r="E7" s="28" t="s">
        <v>172</v>
      </c>
      <c r="F7" s="27">
        <v>48</v>
      </c>
    </row>
    <row r="8" spans="1:6" ht="27.75" customHeight="1" thickBot="1" x14ac:dyDescent="0.3">
      <c r="A8" s="11" t="s">
        <v>119</v>
      </c>
      <c r="B8" s="3" t="s">
        <v>120</v>
      </c>
      <c r="D8" s="29" t="s">
        <v>173</v>
      </c>
      <c r="E8" s="30" t="s">
        <v>174</v>
      </c>
      <c r="F8" s="29">
        <v>4</v>
      </c>
    </row>
    <row r="9" spans="1:6" ht="27.75" customHeight="1" thickBot="1" x14ac:dyDescent="0.3">
      <c r="A9" s="11" t="s">
        <v>121</v>
      </c>
      <c r="B9" s="3" t="s">
        <v>122</v>
      </c>
      <c r="D9" s="25" t="s">
        <v>175</v>
      </c>
      <c r="E9" s="26" t="s">
        <v>176</v>
      </c>
      <c r="F9" s="25" t="s">
        <v>182</v>
      </c>
    </row>
    <row r="10" spans="1:6" ht="27.75" customHeight="1" thickBot="1" x14ac:dyDescent="0.3">
      <c r="A10" s="11" t="s">
        <v>123</v>
      </c>
      <c r="B10" s="3" t="s">
        <v>124</v>
      </c>
      <c r="D10" s="27" t="s">
        <v>177</v>
      </c>
      <c r="E10" s="28" t="s">
        <v>178</v>
      </c>
      <c r="F10" s="27">
        <v>24</v>
      </c>
    </row>
    <row r="11" spans="1:6" ht="18" customHeight="1" thickBot="1" x14ac:dyDescent="0.3">
      <c r="A11" s="11"/>
      <c r="B11" s="3"/>
      <c r="D11" s="25" t="s">
        <v>179</v>
      </c>
      <c r="E11" s="26" t="s">
        <v>186</v>
      </c>
      <c r="F11" s="25">
        <v>48</v>
      </c>
    </row>
    <row r="12" spans="1:6" ht="18" customHeight="1" thickBot="1" x14ac:dyDescent="0.3">
      <c r="A12" s="12" t="s">
        <v>125</v>
      </c>
      <c r="B12" s="12"/>
      <c r="D12" s="27" t="s">
        <v>180</v>
      </c>
      <c r="E12" s="28" t="s">
        <v>187</v>
      </c>
      <c r="F12" s="27">
        <f>5*24</f>
        <v>120</v>
      </c>
    </row>
    <row r="13" spans="1:6" ht="18" customHeight="1" x14ac:dyDescent="0.25">
      <c r="A13" s="11" t="s">
        <v>126</v>
      </c>
      <c r="B13" s="3" t="s">
        <v>127</v>
      </c>
    </row>
    <row r="14" spans="1:6" ht="18" customHeight="1" x14ac:dyDescent="0.25">
      <c r="A14" s="11" t="s">
        <v>128</v>
      </c>
      <c r="B14" s="3" t="s">
        <v>129</v>
      </c>
    </row>
    <row r="15" spans="1:6" ht="18" customHeight="1" x14ac:dyDescent="0.25">
      <c r="A15" s="11" t="s">
        <v>130</v>
      </c>
      <c r="B15" s="3" t="s">
        <v>131</v>
      </c>
    </row>
    <row r="16" spans="1:6" ht="18" customHeight="1" x14ac:dyDescent="0.25">
      <c r="A16" s="11" t="s">
        <v>132</v>
      </c>
      <c r="B16" s="3" t="s">
        <v>133</v>
      </c>
    </row>
    <row r="17" spans="1:2" ht="18" customHeight="1" x14ac:dyDescent="0.25">
      <c r="A17" s="11" t="s">
        <v>134</v>
      </c>
      <c r="B17" s="3" t="s">
        <v>135</v>
      </c>
    </row>
    <row r="18" spans="1:2" ht="18" customHeight="1" x14ac:dyDescent="0.25">
      <c r="A18" s="11" t="s">
        <v>136</v>
      </c>
      <c r="B18" s="3" t="s">
        <v>137</v>
      </c>
    </row>
    <row r="19" spans="1:2" ht="18" customHeight="1" x14ac:dyDescent="0.25">
      <c r="A19" s="11" t="s">
        <v>138</v>
      </c>
      <c r="B19" s="3" t="s">
        <v>139</v>
      </c>
    </row>
    <row r="20" spans="1:2" ht="18" customHeight="1" x14ac:dyDescent="0.25">
      <c r="A20" s="11" t="s">
        <v>140</v>
      </c>
      <c r="B20" s="3" t="s">
        <v>141</v>
      </c>
    </row>
    <row r="21" spans="1:2" ht="18" customHeight="1" x14ac:dyDescent="0.25">
      <c r="A21" s="11" t="s">
        <v>142</v>
      </c>
      <c r="B21" s="3" t="s">
        <v>143</v>
      </c>
    </row>
    <row r="22" spans="1:2" ht="18" customHeight="1" x14ac:dyDescent="0.25">
      <c r="A22" s="11" t="s">
        <v>144</v>
      </c>
      <c r="B22" s="3" t="s">
        <v>145</v>
      </c>
    </row>
    <row r="23" spans="1:2" ht="18" customHeight="1" x14ac:dyDescent="0.25">
      <c r="A23" s="11" t="s">
        <v>146</v>
      </c>
      <c r="B23" s="3" t="s">
        <v>147</v>
      </c>
    </row>
    <row r="24" spans="1:2" ht="18" customHeight="1" x14ac:dyDescent="0.25">
      <c r="A24" s="11" t="s">
        <v>148</v>
      </c>
      <c r="B24" s="3" t="s">
        <v>149</v>
      </c>
    </row>
    <row r="25" spans="1:2" ht="18" customHeight="1" x14ac:dyDescent="0.25">
      <c r="A25" s="11" t="s">
        <v>150</v>
      </c>
      <c r="B25" s="3" t="s">
        <v>151</v>
      </c>
    </row>
    <row r="26" spans="1:2" ht="18" customHeight="1" x14ac:dyDescent="0.25">
      <c r="A26" s="11"/>
      <c r="B26" s="3"/>
    </row>
    <row r="27" spans="1:2" ht="18" customHeight="1" x14ac:dyDescent="0.25">
      <c r="A27" s="12" t="s">
        <v>152</v>
      </c>
      <c r="B27" s="12"/>
    </row>
    <row r="28" spans="1:2" ht="18" customHeight="1" x14ac:dyDescent="0.25">
      <c r="A28" s="11" t="s">
        <v>153</v>
      </c>
      <c r="B28" s="3" t="s">
        <v>154</v>
      </c>
    </row>
    <row r="29" spans="1:2" ht="18" customHeight="1" x14ac:dyDescent="0.25">
      <c r="A29" s="11" t="s">
        <v>155</v>
      </c>
      <c r="B29" s="3" t="s">
        <v>156</v>
      </c>
    </row>
    <row r="30" spans="1:2" ht="18" customHeight="1" x14ac:dyDescent="0.25">
      <c r="A30" s="11" t="s">
        <v>157</v>
      </c>
      <c r="B30" s="3" t="s">
        <v>158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📋 Registro de Requerimientos</vt:lpstr>
      <vt:lpstr>📊 Dashboard KPIs</vt:lpstr>
      <vt:lpstr>📖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2026-06-02T23:14:36Z</dcterms:created>
  <dcterms:modified xsi:type="dcterms:W3CDTF">2026-06-13T05:07:27Z</dcterms:modified>
  <dc:language>en-US</dc:language>
</cp:coreProperties>
</file>